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Build App\"/>
    </mc:Choice>
  </mc:AlternateContent>
  <xr:revisionPtr revIDLastSave="0" documentId="13_ncr:1_{1F3B0542-4B40-47F9-B876-900EE0E6C9A2}" xr6:coauthVersionLast="47" xr6:coauthVersionMax="47" xr10:uidLastSave="{00000000-0000-0000-0000-000000000000}"/>
  <bookViews>
    <workbookView xWindow="-120" yWindow="-120" windowWidth="29040" windowHeight="15720" xr2:uid="{F63B16E6-DD93-48BA-9E3D-21282B9BE7A6}"/>
  </bookViews>
  <sheets>
    <sheet name="Phiếu X-N" sheetId="1" r:id="rId1"/>
  </sheets>
  <definedNames>
    <definedName name="_Fill" localSheetId="0" hidden="1">#REF!</definedName>
    <definedName name="_Fill" hidden="1">#REF!</definedName>
    <definedName name="a" localSheetId="0" hidden="1">#REF!</definedName>
    <definedName name="a" hidden="1">#REF!</definedName>
    <definedName name="dskh">#REF!</definedName>
    <definedName name="gia" localSheetId="0">#REF!</definedName>
    <definedName name="gia">#REF!</definedName>
    <definedName name="_xlnm.Print_Area" localSheetId="0">'Phiếu X-N'!$A$1:$J$50</definedName>
    <definedName name="thk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45" i="1"/>
  <c r="F11" i="1"/>
  <c r="A9" i="1"/>
  <c r="A8" i="1"/>
  <c r="A5" i="1"/>
  <c r="I12" i="1" l="1"/>
  <c r="A12" i="1"/>
  <c r="I13" i="1" l="1"/>
  <c r="A13" i="1"/>
  <c r="I14" i="1" l="1"/>
  <c r="A14" i="1"/>
  <c r="A15" i="1" l="1"/>
  <c r="I15" i="1"/>
  <c r="I16" i="1" l="1"/>
  <c r="A16" i="1"/>
  <c r="A17" i="1" l="1"/>
  <c r="I17" i="1"/>
  <c r="I18" i="1" l="1"/>
  <c r="A18" i="1"/>
  <c r="A19" i="1" l="1"/>
  <c r="I19" i="1"/>
  <c r="A20" i="1" l="1"/>
  <c r="I20" i="1"/>
  <c r="A21" i="1" l="1"/>
  <c r="I21" i="1"/>
  <c r="I22" i="1" l="1"/>
  <c r="A22" i="1"/>
  <c r="A23" i="1" l="1"/>
  <c r="I23" i="1"/>
  <c r="A24" i="1" l="1"/>
  <c r="I24" i="1"/>
  <c r="I25" i="1" l="1"/>
  <c r="A25" i="1"/>
  <c r="I26" i="1" l="1"/>
  <c r="A26" i="1"/>
  <c r="A27" i="1" l="1"/>
  <c r="I27" i="1"/>
  <c r="I28" i="1" l="1"/>
  <c r="A28" i="1"/>
  <c r="A29" i="1" l="1"/>
  <c r="I29" i="1"/>
  <c r="A30" i="1" l="1"/>
  <c r="I30" i="1"/>
  <c r="A31" i="1" l="1"/>
  <c r="I31" i="1"/>
  <c r="A32" i="1" l="1"/>
  <c r="I32" i="1"/>
  <c r="I33" i="1" l="1"/>
  <c r="A33" i="1"/>
  <c r="I34" i="1" l="1"/>
  <c r="A34" i="1"/>
  <c r="A35" i="1" l="1"/>
  <c r="I35" i="1"/>
  <c r="I36" i="1" l="1"/>
  <c r="A36" i="1"/>
  <c r="A37" i="1" l="1"/>
  <c r="I37" i="1"/>
  <c r="I38" i="1" l="1"/>
  <c r="A38" i="1"/>
  <c r="A39" i="1" l="1"/>
  <c r="I39" i="1"/>
</calcChain>
</file>

<file path=xl/sharedStrings.xml><?xml version="1.0" encoding="utf-8"?>
<sst xmlns="http://schemas.openxmlformats.org/spreadsheetml/2006/main" count="224" uniqueCount="30">
  <si>
    <t>CÔNG TY CỔ PHẦN HL WINDOWS</t>
  </si>
  <si>
    <t xml:space="preserve">Mẫu số 01 - VT </t>
  </si>
  <si>
    <t>Địa Chỉ: Nhà T11-A62, KĐT Văn Quán - Yên Phúc, Văn Quán, Hà Đông, Hà Nội</t>
  </si>
  <si>
    <t>(theo thông tư 200/2014/TT-BTC ngày 22/12/20214 của BTC)</t>
  </si>
  <si>
    <t>Nhà máy SX: Đường C1, Khu C, KCN Phố Nối A, H.Văn Lâm, Tỉnh Hưng Yên</t>
  </si>
  <si>
    <t>Mã số thuế: 0109499690</t>
  </si>
  <si>
    <t xml:space="preserve">Nhập vật tư theo đề nghị mua vật tư được duyệt  số           ngày </t>
  </si>
  <si>
    <t>STT</t>
  </si>
  <si>
    <t>Mã vật tư</t>
  </si>
  <si>
    <t>Tên vật tư</t>
  </si>
  <si>
    <t>Phiếu yêu cầu mua hàng</t>
    <phoneticPr fontId="4" type="noConversion"/>
  </si>
  <si>
    <t>Ngày đề xuất</t>
    <phoneticPr fontId="4" type="noConversion"/>
  </si>
  <si>
    <t>Ghi chú</t>
  </si>
  <si>
    <t xml:space="preserve">Tổng tiền </t>
  </si>
  <si>
    <t xml:space="preserve">Thuế GTGT </t>
  </si>
  <si>
    <t>Tổng Thanh toán</t>
  </si>
  <si>
    <t xml:space="preserve">Chứng từ kèm theo: </t>
  </si>
  <si>
    <t>Người lập</t>
  </si>
  <si>
    <t>Kế Toán Kho                                               Ban lãnh đạo</t>
    <phoneticPr fontId="4" type="noConversion"/>
  </si>
  <si>
    <t>Vũ Thị Hon</t>
  </si>
  <si>
    <t>lv130</t>
  </si>
  <si>
    <t>Đơn vị</t>
  </si>
  <si>
    <t>Ngày 28 tháng 1 năm 2026</t>
  </si>
  <si>
    <t>Nguyễn Ngọc Duân</t>
  </si>
  <si>
    <t>mk1.2x1200</t>
  </si>
  <si>
    <t>Tôn mạ kẽm 1.2*1200 (Mét)</t>
  </si>
  <si>
    <t>Mét</t>
  </si>
  <si>
    <t/>
  </si>
  <si>
    <t>Số:PXK/OG/26/000038</t>
  </si>
  <si>
    <t>Dự án sử dụng/ 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</si>
</sst>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Arial"/>
      <family val="2"/>
      <scheme val="minor"/>
    </font>
    <font>
      <u/>
      <sz val="11"/>
      <color theme="10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2" fillId="0" borderId="0"/>
  </cellStyleXfs>
  <cellXfs count="10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left" vertical="center" wrapText="1"/>
    </xf>
    <xf numFmtId="0" fontId="2" fillId="0" borderId="0" xfId="0" applyFont="1"/>
    <xf numFmtId="0" fontId="4" fillId="0" borderId="0" xfId="0" applyFont="1"/>
    <xf numFmtId="165" fontId="4" fillId="0" borderId="0" xfId="1" applyNumberFormat="1" applyFont="1" applyAlignment="1">
      <alignment horizontal="left" vertical="top" wrapText="1"/>
    </xf>
    <xf numFmtId="165" fontId="4" fillId="0" borderId="0" xfId="1" applyNumberFormat="1" applyFont="1" applyAlignment="1">
      <alignment vertical="top" wrapText="1"/>
    </xf>
    <xf numFmtId="165" fontId="4" fillId="0" borderId="0" xfId="1" applyNumberFormat="1" applyFont="1" applyAlignment="1">
      <alignment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5" fontId="7" fillId="0" borderId="0" xfId="1" applyNumberFormat="1" applyFont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>
      <alignment horizontal="center" vertical="center" wrapText="1"/>
    </xf>
    <xf numFmtId="165" fontId="9" fillId="0" borderId="1" xfId="1" applyNumberFormat="1" applyFont="1" applyBorder="1" applyAlignment="1">
      <alignment horizontal="center" vertical="center" wrapText="1"/>
    </xf>
    <xf numFmtId="14" fontId="9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1" xfId="1" applyFont="1" applyFill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left" vertical="center" wrapText="1"/>
    </xf>
    <xf numFmtId="14" fontId="8" fillId="0" borderId="1" xfId="1" applyNumberFormat="1" applyFont="1" applyFill="1" applyBorder="1" applyAlignment="1">
      <alignment horizontal="left" vertical="center" wrapText="1"/>
    </xf>
    <xf numFmtId="165" fontId="10" fillId="0" borderId="1" xfId="1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8" fillId="0" borderId="1" xfId="1" applyNumberFormat="1" applyFont="1" applyBorder="1" applyAlignment="1">
      <alignment horizontal="left" vertical="center" wrapText="1"/>
    </xf>
    <xf numFmtId="165" fontId="10" fillId="0" borderId="1" xfId="1" applyNumberFormat="1" applyFont="1" applyBorder="1" applyAlignment="1">
      <alignment horizontal="left" vertical="center" wrapText="1"/>
    </xf>
    <xf numFmtId="165" fontId="8" fillId="0" borderId="1" xfId="1" applyNumberFormat="1" applyFont="1" applyBorder="1" applyAlignment="1">
      <alignment horizontal="left" vertical="center" wrapText="1"/>
    </xf>
    <xf numFmtId="164" fontId="8" fillId="2" borderId="1" xfId="1" applyFont="1" applyFill="1" applyBorder="1" applyAlignment="1">
      <alignment horizontal="center" vertical="center" wrapText="1"/>
    </xf>
    <xf numFmtId="165" fontId="8" fillId="2" borderId="1" xfId="1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14" fontId="8" fillId="2" borderId="1" xfId="1" applyNumberFormat="1" applyFont="1" applyFill="1" applyBorder="1" applyAlignment="1">
      <alignment horizontal="left" vertical="center" wrapText="1"/>
    </xf>
    <xf numFmtId="165" fontId="10" fillId="2" borderId="1" xfId="1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164" fontId="8" fillId="2" borderId="1" xfId="1" applyFont="1" applyFill="1" applyBorder="1" applyAlignment="1">
      <alignment horizontal="center"/>
    </xf>
    <xf numFmtId="165" fontId="9" fillId="0" borderId="1" xfId="1" applyNumberFormat="1" applyFont="1" applyBorder="1"/>
    <xf numFmtId="165" fontId="9" fillId="0" borderId="1" xfId="1" applyNumberFormat="1" applyFont="1" applyBorder="1" applyAlignment="1">
      <alignment horizontal="left"/>
    </xf>
    <xf numFmtId="165" fontId="9" fillId="0" borderId="1" xfId="1" applyNumberFormat="1" applyFont="1" applyBorder="1" applyAlignment="1">
      <alignment vertical="center"/>
    </xf>
    <xf numFmtId="14" fontId="9" fillId="0" borderId="1" xfId="1" applyNumberFormat="1" applyFont="1" applyBorder="1" applyAlignment="1">
      <alignment vertical="center"/>
    </xf>
    <xf numFmtId="9" fontId="8" fillId="2" borderId="1" xfId="2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8" fillId="0" borderId="1" xfId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165" fontId="2" fillId="0" borderId="0" xfId="1" applyNumberFormat="1" applyFont="1" applyAlignment="1">
      <alignment horizontal="center"/>
    </xf>
    <xf numFmtId="165" fontId="2" fillId="0" borderId="0" xfId="1" applyNumberFormat="1" applyFont="1" applyAlignment="1"/>
    <xf numFmtId="165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vertical="center"/>
    </xf>
    <xf numFmtId="14" fontId="2" fillId="0" borderId="0" xfId="1" applyNumberFormat="1" applyFont="1" applyAlignment="1">
      <alignment vertical="center"/>
    </xf>
    <xf numFmtId="165" fontId="9" fillId="0" borderId="0" xfId="1" applyNumberFormat="1" applyFont="1" applyAlignment="1">
      <alignment horizontal="right"/>
    </xf>
    <xf numFmtId="165" fontId="9" fillId="0" borderId="0" xfId="1" applyNumberFormat="1" applyFont="1" applyAlignment="1">
      <alignment vertical="center"/>
    </xf>
    <xf numFmtId="14" fontId="9" fillId="0" borderId="0" xfId="1" applyNumberFormat="1" applyFont="1" applyAlignment="1">
      <alignment vertical="center"/>
    </xf>
    <xf numFmtId="165" fontId="9" fillId="0" borderId="0" xfId="1" applyNumberFormat="1" applyFont="1" applyAlignment="1"/>
    <xf numFmtId="1" fontId="13" fillId="4" borderId="1" xfId="4" applyNumberFormat="1" applyFont="1" applyFill="1" applyBorder="1" applyAlignment="1">
      <alignment vertical="center"/>
    </xf>
    <xf numFmtId="165" fontId="2" fillId="0" borderId="0" xfId="1" applyNumberFormat="1" applyFont="1"/>
    <xf numFmtId="0" fontId="8" fillId="0" borderId="0" xfId="0" applyFont="1" applyAlignment="1">
      <alignment horizontal="centerContinuous" vertical="center" wrapText="1"/>
    </xf>
    <xf numFmtId="0" fontId="8" fillId="0" borderId="0" xfId="0" applyFont="1" applyAlignment="1">
      <alignment horizontal="centerContinuous" wrapText="1"/>
    </xf>
    <xf numFmtId="14" fontId="8" fillId="0" borderId="0" xfId="0" applyNumberFormat="1" applyFont="1" applyAlignment="1">
      <alignment horizontal="centerContinuous" vertical="center" wrapText="1"/>
    </xf>
    <xf numFmtId="164" fontId="8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14" fillId="0" borderId="0" xfId="0" applyFont="1"/>
    <xf numFmtId="165" fontId="4" fillId="0" borderId="0" xfId="1" applyNumberFormat="1" applyFont="1" applyAlignment="1">
      <alignment horizontal="centerContinuous" vertical="top" wrapText="1"/>
    </xf>
    <xf numFmtId="0" fontId="8" fillId="0" borderId="0" xfId="0" applyFont="1" applyAlignment="1">
      <alignment horizontal="centerContinuous"/>
    </xf>
    <xf numFmtId="165" fontId="8" fillId="0" borderId="0" xfId="1" applyNumberFormat="1" applyFont="1" applyAlignment="1">
      <alignment horizontal="centerContinuous"/>
    </xf>
    <xf numFmtId="0" fontId="2" fillId="0" borderId="0" xfId="0" applyFont="1" applyAlignment="1">
      <alignment horizontal="centerContinuous" vertical="center"/>
    </xf>
    <xf numFmtId="14" fontId="8" fillId="0" borderId="0" xfId="1" applyNumberFormat="1" applyFont="1" applyAlignment="1">
      <alignment horizontal="centerContinuous" vertical="center"/>
    </xf>
    <xf numFmtId="14" fontId="8" fillId="2" borderId="0" xfId="0" applyNumberFormat="1" applyFont="1" applyFill="1" applyAlignment="1">
      <alignment horizontal="centerContinuous"/>
    </xf>
    <xf numFmtId="165" fontId="8" fillId="3" borderId="0" xfId="1" quotePrefix="1" applyNumberFormat="1" applyFont="1" applyFill="1" applyBorder="1" applyAlignment="1">
      <alignment horizontal="centerContinuous"/>
    </xf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14" fontId="8" fillId="0" borderId="0" xfId="0" applyNumberFormat="1" applyFont="1" applyAlignment="1">
      <alignment horizontal="left" vertical="center" wrapText="1"/>
    </xf>
    <xf numFmtId="165" fontId="7" fillId="0" borderId="0" xfId="1" applyNumberFormat="1" applyFont="1" applyAlignment="1">
      <alignment horizontal="left" vertical="center"/>
    </xf>
    <xf numFmtId="14" fontId="7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centerContinuous" vertical="center" wrapText="1"/>
    </xf>
    <xf numFmtId="0" fontId="6" fillId="0" borderId="0" xfId="3" applyFont="1" applyFill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4"/>
    </xf>
    <xf numFmtId="165" fontId="9" fillId="0" borderId="0" xfId="1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165" fontId="3" fillId="0" borderId="0" xfId="1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</cellXfs>
  <cellStyles count="5">
    <cellStyle name="Comma" xfId="1" builtinId="3"/>
    <cellStyle name="Hyperlink" xfId="3" builtinId="8"/>
    <cellStyle name="Normal" xfId="0" builtinId="0"/>
    <cellStyle name="Normal 2 2 3 3" xfId="4" xr:uid="{91EC5112-DEFC-4C13-B284-EA5889935A8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682910</xdr:colOff>
      <xdr:row>4</xdr:row>
      <xdr:rowOff>35719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DE6548-6231-410F-9204-9C4A1E76C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0"/>
          <a:ext cx="1194879" cy="1083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A77B-4BF9-4538-BA89-61AD5D6118EB}">
  <dimension ref="A1:L417"/>
  <sheetViews>
    <sheetView showGridLines="0" tabSelected="1" topLeftCell="A25" zoomScaleNormal="100" zoomScaleSheetLayoutView="80" zoomScalePageLayoutView="80" workbookViewId="0">
      <selection activeCell="G12" sqref="G12"/>
    </sheetView>
  </sheetViews>
  <sheetFormatPr defaultColWidth="9.125" defaultRowHeight="15" x14ac:dyDescent="0.25"/>
  <cols>
    <col min="1" max="1" width="8" style="1" customWidth="1"/>
    <col min="2" max="2" width="10.875" style="2" customWidth="1"/>
    <col min="3" max="3" width="9.625" style="7" customWidth="1"/>
    <col min="4" max="4" width="31.375" style="7" customWidth="1"/>
    <col min="5" max="5" width="11" style="1" customWidth="1"/>
    <col min="6" max="6" width="15.75" style="51" customWidth="1"/>
    <col min="7" max="7" width="31" style="53" customWidth="1"/>
    <col min="8" max="8" width="22.125" style="54" customWidth="1"/>
    <col min="9" max="9" width="14.5" style="55" customWidth="1"/>
    <col min="10" max="10" width="11.625" style="61" customWidth="1"/>
    <col min="11" max="11" width="9.125" style="7"/>
    <col min="12" max="12" width="15" style="7" customWidth="1"/>
    <col min="13" max="16384" width="9.125" style="7"/>
  </cols>
  <sheetData>
    <row r="1" spans="1:12" ht="21" customHeight="1" x14ac:dyDescent="0.25">
      <c r="C1" s="67" t="s">
        <v>0</v>
      </c>
      <c r="D1" s="3"/>
      <c r="E1" s="4"/>
      <c r="F1" s="5"/>
      <c r="G1" s="6"/>
      <c r="H1" s="100" t="s">
        <v>1</v>
      </c>
      <c r="I1" s="100"/>
      <c r="J1" s="100"/>
      <c r="L1" s="83"/>
    </row>
    <row r="2" spans="1:12" ht="21" customHeight="1" x14ac:dyDescent="0.25">
      <c r="C2" s="7" t="s">
        <v>2</v>
      </c>
      <c r="D2" s="8"/>
      <c r="E2" s="4"/>
      <c r="F2" s="4"/>
      <c r="G2" s="9"/>
      <c r="H2" s="82" t="s">
        <v>3</v>
      </c>
      <c r="I2" s="68"/>
      <c r="J2" s="68"/>
    </row>
    <row r="3" spans="1:12" ht="21" customHeight="1" x14ac:dyDescent="0.25">
      <c r="C3" s="7" t="s">
        <v>4</v>
      </c>
      <c r="D3" s="8"/>
      <c r="E3" s="4"/>
      <c r="F3" s="5"/>
      <c r="G3" s="9"/>
      <c r="H3" s="10"/>
      <c r="I3" s="10"/>
      <c r="J3" s="10"/>
    </row>
    <row r="4" spans="1:12" ht="21" customHeight="1" x14ac:dyDescent="0.25">
      <c r="C4" s="7" t="s">
        <v>5</v>
      </c>
      <c r="D4" s="8"/>
      <c r="E4" s="4"/>
      <c r="F4" s="5"/>
      <c r="G4" s="9"/>
      <c r="H4" s="11"/>
      <c r="I4" s="11"/>
      <c r="J4" s="10"/>
    </row>
    <row r="5" spans="1:12" ht="31.5" customHeight="1" x14ac:dyDescent="0.25">
      <c r="A5" s="66" t="str">
        <f>IF(LEFT(E7,3)="PNK"," PHIẾU NHẬP KHO VẬT TƯ"," PHIẾU XUẤT KHO VẬT TƯ")</f>
        <v xml:space="preserve"> PHIẾU XUẤT KHO VẬT TƯ</v>
      </c>
      <c r="B5" s="66"/>
      <c r="C5" s="66"/>
      <c r="D5" s="66"/>
      <c r="E5" s="66"/>
      <c r="F5" s="66"/>
      <c r="G5" s="66"/>
      <c r="H5" s="66"/>
      <c r="I5" s="66"/>
      <c r="J5" s="66"/>
    </row>
    <row r="6" spans="1:12" ht="21.75" customHeight="1" x14ac:dyDescent="0.25">
      <c r="A6" s="62" t="s">
        <v>22</v>
      </c>
      <c r="B6" s="62"/>
      <c r="C6" s="62"/>
      <c r="D6" s="62"/>
      <c r="E6" s="62"/>
      <c r="F6" s="62"/>
      <c r="G6" s="63"/>
      <c r="H6" s="62"/>
      <c r="I6" s="64"/>
      <c r="J6" s="63"/>
    </row>
    <row r="7" spans="1:12" ht="25.5" customHeight="1" x14ac:dyDescent="0.25">
      <c r="A7" s="69" t="s">
        <v>28</v>
      </c>
      <c r="B7" s="69"/>
      <c r="C7" s="69"/>
      <c r="D7" s="69"/>
      <c r="E7" s="73"/>
      <c r="F7" s="74"/>
      <c r="G7" s="70"/>
      <c r="H7" s="71"/>
      <c r="I7" s="72"/>
      <c r="J7" s="70"/>
    </row>
    <row r="8" spans="1:12" ht="29.25" customHeight="1" x14ac:dyDescent="0.25">
      <c r="A8" s="101" t="str">
        <f>IF(LEFT($E$7,3)="PNK","Người bán hàng:","Người nhận hàng:")</f>
        <v>Người nhận hàng:</v>
      </c>
      <c r="B8" s="101"/>
      <c r="C8" s="75" t="s">
        <v>23</v>
      </c>
      <c r="D8" s="75"/>
      <c r="E8" s="76"/>
      <c r="F8" s="13"/>
      <c r="G8" s="13"/>
      <c r="H8" s="75"/>
      <c r="I8" s="77"/>
      <c r="J8" s="13"/>
    </row>
    <row r="9" spans="1:12" ht="29.25" customHeight="1" x14ac:dyDescent="0.25">
      <c r="A9" s="75" t="str">
        <f>IF(LEFT($E$7,6)="PNK/NK","Lý do nhập kho: Nhập vật tư xưởng Nhôm Kính",IF(LEFT($E$7,6)="PXK/NK","Lý do xuất kho: xuất vật tư xưởng Nhôm Kính",IF(LEFT($E$7,6)="PNK/OG","Lý do nhập kho: Nhập vật tư xưởng Ống gió",IF(LEFT($E$7,6)="PXK/OG","Lý do xuất kho: xuất vật tư xưởng ống gió",IF(LEFT($E$7,6)="PXK/CK","Lý do xuất kho: xuất vật tư xưởng Cơ Khí","Lý do nhập kho: nhập vật tư xưởng Cơ khí")))))</f>
        <v>Lý do nhập kho: nhập vật tư xưởng Cơ khí</v>
      </c>
      <c r="B9" s="75"/>
      <c r="C9" s="75"/>
      <c r="D9" s="78"/>
      <c r="E9" s="78"/>
      <c r="F9" s="12"/>
      <c r="G9" s="12"/>
      <c r="H9" s="78"/>
      <c r="I9" s="79"/>
      <c r="J9" s="12"/>
    </row>
    <row r="10" spans="1:12" ht="29.25" customHeight="1" x14ac:dyDescent="0.3">
      <c r="A10" s="13" t="s">
        <v>6</v>
      </c>
      <c r="B10" s="14"/>
      <c r="C10" s="14"/>
      <c r="D10" s="14"/>
      <c r="E10" s="14"/>
      <c r="F10" s="15"/>
      <c r="G10" s="15"/>
      <c r="H10" s="80"/>
      <c r="I10" s="81"/>
      <c r="J10" s="15"/>
    </row>
    <row r="11" spans="1:12" ht="35.25" customHeight="1" x14ac:dyDescent="0.25">
      <c r="A11" s="16" t="s">
        <v>7</v>
      </c>
      <c r="B11" s="16" t="s">
        <v>8</v>
      </c>
      <c r="C11" s="102" t="s">
        <v>9</v>
      </c>
      <c r="D11" s="103"/>
      <c r="E11" s="16" t="s">
        <v>21</v>
      </c>
      <c r="F11" s="17" t="str">
        <f>IF(LEFT($E$7,3)="PNK","Số lượng  nhập","Số lượng xuất")</f>
        <v>Số lượng xuất</v>
      </c>
      <c r="G11" s="18" t="s">
        <v>29</v>
      </c>
      <c r="H11" s="18" t="s">
        <v>10</v>
      </c>
      <c r="I11" s="19" t="s">
        <v>11</v>
      </c>
      <c r="J11" s="18" t="s">
        <v>12</v>
      </c>
    </row>
    <row r="12" spans="1:12" s="26" customFormat="1" ht="23.25" customHeight="1" x14ac:dyDescent="0.2">
      <c r="A12" s="21">
        <f>IF(B12="","",COUNTA(B12:$B$12))</f>
        <v>1</v>
      </c>
      <c r="B12" s="21" t="s">
        <v>24</v>
      </c>
      <c r="C12" s="98" t="s">
        <v>25</v>
      </c>
      <c r="D12" s="99"/>
      <c r="E12" s="21" t="s">
        <v>26</v>
      </c>
      <c r="F12" s="65">
        <v>402</v>
      </c>
      <c r="G12" s="23"/>
      <c r="H12" s="31"/>
      <c r="I12" s="24" t="str">
        <f>+IFERROR(VLOOKUP(H12,#REF!,2,0),"")</f>
        <v/>
      </c>
      <c r="J12" s="25">
        <v>283</v>
      </c>
    </row>
    <row r="13" spans="1:12" s="26" customFormat="1" ht="23.25" customHeight="1" x14ac:dyDescent="0.2">
      <c r="A13" s="28" t="str">
        <f>IF(B13="","",COUNTA(B$12:$B13))</f>
        <v/>
      </c>
      <c r="B13" s="27" t="s">
        <v>27</v>
      </c>
      <c r="C13" s="93" t="s">
        <v>27</v>
      </c>
      <c r="D13" s="94"/>
      <c r="E13" s="28" t="s">
        <v>27</v>
      </c>
      <c r="F13" s="22" t="s">
        <v>27</v>
      </c>
      <c r="G13" s="23" t="s">
        <v>27</v>
      </c>
      <c r="H13" s="31" t="s">
        <v>27</v>
      </c>
      <c r="I13" s="29" t="str">
        <f>+IFERROR(VLOOKUP(H13,#REF!,2,0),"")</f>
        <v/>
      </c>
      <c r="J13" s="30" t="s">
        <v>27</v>
      </c>
    </row>
    <row r="14" spans="1:12" s="26" customFormat="1" ht="23.25" customHeight="1" x14ac:dyDescent="0.2">
      <c r="A14" s="21" t="str">
        <f>IF(B14="","",COUNTA(B$12:$B14))</f>
        <v/>
      </c>
      <c r="B14" s="20" t="s">
        <v>27</v>
      </c>
      <c r="C14" s="98" t="s">
        <v>27</v>
      </c>
      <c r="D14" s="99"/>
      <c r="E14" s="21" t="s">
        <v>27</v>
      </c>
      <c r="F14" s="22" t="s">
        <v>27</v>
      </c>
      <c r="G14" s="23" t="s">
        <v>27</v>
      </c>
      <c r="H14" s="23" t="s">
        <v>27</v>
      </c>
      <c r="I14" s="24" t="str">
        <f>+IFERROR(VLOOKUP(H14,#REF!,2,0),"")</f>
        <v/>
      </c>
      <c r="J14" s="25" t="s">
        <v>27</v>
      </c>
    </row>
    <row r="15" spans="1:12" s="26" customFormat="1" ht="23.25" customHeight="1" x14ac:dyDescent="0.2">
      <c r="A15" s="21" t="str">
        <f>IF(B15="","",COUNTA(B$12:$B15))</f>
        <v/>
      </c>
      <c r="B15" s="20" t="s">
        <v>27</v>
      </c>
      <c r="C15" s="98" t="s">
        <v>27</v>
      </c>
      <c r="D15" s="99"/>
      <c r="E15" s="21" t="s">
        <v>27</v>
      </c>
      <c r="F15" s="22" t="s">
        <v>27</v>
      </c>
      <c r="G15" s="23" t="s">
        <v>27</v>
      </c>
      <c r="H15" s="23" t="s">
        <v>27</v>
      </c>
      <c r="I15" s="24" t="str">
        <f>+IFERROR(VLOOKUP(H15,#REF!,2,0),"")</f>
        <v/>
      </c>
      <c r="J15" s="25" t="s">
        <v>27</v>
      </c>
    </row>
    <row r="16" spans="1:12" s="26" customFormat="1" ht="23.25" customHeight="1" x14ac:dyDescent="0.2">
      <c r="A16" s="28" t="str">
        <f>IF(B16="","",COUNTA(B$12:$B16))</f>
        <v/>
      </c>
      <c r="B16" s="20" t="s">
        <v>27</v>
      </c>
      <c r="C16" s="98" t="s">
        <v>27</v>
      </c>
      <c r="D16" s="99"/>
      <c r="E16" s="28" t="s">
        <v>27</v>
      </c>
      <c r="F16" s="22" t="s">
        <v>27</v>
      </c>
      <c r="G16" s="23" t="s">
        <v>27</v>
      </c>
      <c r="H16" s="31" t="s">
        <v>27</v>
      </c>
      <c r="I16" s="29" t="str">
        <f>+IFERROR(VLOOKUP(H16,#REF!,2,0),"")</f>
        <v/>
      </c>
      <c r="J16" s="30" t="s">
        <v>27</v>
      </c>
    </row>
    <row r="17" spans="1:10" s="26" customFormat="1" ht="23.25" customHeight="1" x14ac:dyDescent="0.2">
      <c r="A17" s="21" t="str">
        <f>IF(B17="","",COUNTA(B$12:$B17))</f>
        <v/>
      </c>
      <c r="B17" s="20" t="s">
        <v>27</v>
      </c>
      <c r="C17" s="98" t="s">
        <v>27</v>
      </c>
      <c r="D17" s="99"/>
      <c r="E17" s="21" t="s">
        <v>27</v>
      </c>
      <c r="F17" s="22" t="s">
        <v>27</v>
      </c>
      <c r="G17" s="23" t="s">
        <v>27</v>
      </c>
      <c r="H17" s="23" t="s">
        <v>27</v>
      </c>
      <c r="I17" s="24" t="str">
        <f>+IFERROR(VLOOKUP(H17,#REF!,2,0),"")</f>
        <v/>
      </c>
      <c r="J17" s="25" t="s">
        <v>27</v>
      </c>
    </row>
    <row r="18" spans="1:10" s="26" customFormat="1" ht="23.25" customHeight="1" x14ac:dyDescent="0.2">
      <c r="A18" s="28" t="str">
        <f>IF(B18="","",COUNTA(B$12:$B18))</f>
        <v/>
      </c>
      <c r="B18" s="27" t="s">
        <v>27</v>
      </c>
      <c r="C18" s="93" t="s">
        <v>27</v>
      </c>
      <c r="D18" s="94"/>
      <c r="E18" s="28" t="s">
        <v>27</v>
      </c>
      <c r="F18" s="22" t="s">
        <v>27</v>
      </c>
      <c r="G18" s="31" t="s">
        <v>27</v>
      </c>
      <c r="H18" s="31" t="s">
        <v>27</v>
      </c>
      <c r="I18" s="29" t="str">
        <f>+IFERROR(VLOOKUP(H18,#REF!,2,0),"")</f>
        <v/>
      </c>
      <c r="J18" s="30" t="s">
        <v>27</v>
      </c>
    </row>
    <row r="19" spans="1:10" s="26" customFormat="1" ht="23.25" customHeight="1" x14ac:dyDescent="0.2">
      <c r="A19" s="28" t="str">
        <f>IF(B19="","",COUNTA(B$12:$B19))</f>
        <v/>
      </c>
      <c r="B19" s="27" t="s">
        <v>27</v>
      </c>
      <c r="C19" s="93" t="s">
        <v>27</v>
      </c>
      <c r="D19" s="94"/>
      <c r="E19" s="28" t="s">
        <v>27</v>
      </c>
      <c r="F19" s="22" t="s">
        <v>27</v>
      </c>
      <c r="G19" s="31" t="s">
        <v>27</v>
      </c>
      <c r="H19" s="31" t="s">
        <v>27</v>
      </c>
      <c r="I19" s="29" t="str">
        <f>+IFERROR(VLOOKUP(H19,#REF!,2,0),"")</f>
        <v/>
      </c>
      <c r="J19" s="30" t="s">
        <v>27</v>
      </c>
    </row>
    <row r="20" spans="1:10" s="26" customFormat="1" ht="23.25" customHeight="1" x14ac:dyDescent="0.2">
      <c r="A20" s="28" t="str">
        <f>IF(B20="","",COUNTA(B$12:$B20))</f>
        <v/>
      </c>
      <c r="B20" s="27" t="s">
        <v>27</v>
      </c>
      <c r="C20" s="93" t="s">
        <v>27</v>
      </c>
      <c r="D20" s="94"/>
      <c r="E20" s="28" t="s">
        <v>27</v>
      </c>
      <c r="F20" s="22" t="s">
        <v>27</v>
      </c>
      <c r="G20" s="31" t="s">
        <v>27</v>
      </c>
      <c r="H20" s="31" t="s">
        <v>27</v>
      </c>
      <c r="I20" s="29" t="str">
        <f>+IFERROR(VLOOKUP(H20,#REF!,2,0),"")</f>
        <v/>
      </c>
      <c r="J20" s="30" t="s">
        <v>27</v>
      </c>
    </row>
    <row r="21" spans="1:10" s="26" customFormat="1" ht="23.25" customHeight="1" x14ac:dyDescent="0.2">
      <c r="A21" s="28" t="str">
        <f>IF(B21="","",COUNTA(B$12:$B21))</f>
        <v/>
      </c>
      <c r="B21" s="27" t="s">
        <v>27</v>
      </c>
      <c r="C21" s="93" t="s">
        <v>27</v>
      </c>
      <c r="D21" s="94"/>
      <c r="E21" s="28" t="s">
        <v>27</v>
      </c>
      <c r="F21" s="22" t="s">
        <v>27</v>
      </c>
      <c r="G21" s="31" t="s">
        <v>27</v>
      </c>
      <c r="H21" s="31" t="s">
        <v>27</v>
      </c>
      <c r="I21" s="29" t="str">
        <f>+IFERROR(VLOOKUP(H21,#REF!,2,0),"")</f>
        <v/>
      </c>
      <c r="J21" s="30" t="s">
        <v>27</v>
      </c>
    </row>
    <row r="22" spans="1:10" s="26" customFormat="1" ht="23.25" customHeight="1" x14ac:dyDescent="0.2">
      <c r="A22" s="28" t="str">
        <f>IF(B22="","",COUNTA(B$12:$B22))</f>
        <v/>
      </c>
      <c r="B22" s="27" t="s">
        <v>27</v>
      </c>
      <c r="C22" s="93" t="s">
        <v>27</v>
      </c>
      <c r="D22" s="94"/>
      <c r="E22" s="28" t="s">
        <v>27</v>
      </c>
      <c r="F22" s="32" t="s">
        <v>27</v>
      </c>
      <c r="G22" s="33" t="s">
        <v>27</v>
      </c>
      <c r="H22" s="31" t="s">
        <v>27</v>
      </c>
      <c r="I22" s="29" t="str">
        <f>+IFERROR(VLOOKUP(H22,#REF!,2,0),"")</f>
        <v/>
      </c>
      <c r="J22" s="30" t="s">
        <v>27</v>
      </c>
    </row>
    <row r="23" spans="1:10" s="26" customFormat="1" ht="23.25" customHeight="1" x14ac:dyDescent="0.2">
      <c r="A23" s="28" t="str">
        <f>IF(B23="","",COUNTA(B$12:$B23))</f>
        <v/>
      </c>
      <c r="B23" s="27" t="s">
        <v>27</v>
      </c>
      <c r="C23" s="93" t="s">
        <v>27</v>
      </c>
      <c r="D23" s="94"/>
      <c r="E23" s="28" t="s">
        <v>27</v>
      </c>
      <c r="F23" s="32" t="s">
        <v>27</v>
      </c>
      <c r="G23" s="33" t="s">
        <v>27</v>
      </c>
      <c r="H23" s="31" t="s">
        <v>27</v>
      </c>
      <c r="I23" s="29" t="str">
        <f>+IFERROR(VLOOKUP(H23,#REF!,2,0),"")</f>
        <v/>
      </c>
      <c r="J23" s="30" t="s">
        <v>27</v>
      </c>
    </row>
    <row r="24" spans="1:10" s="34" customFormat="1" ht="23.25" customHeight="1" x14ac:dyDescent="0.25">
      <c r="A24" s="28" t="str">
        <f>IF(B24="","",COUNTA(B$12:$B24))</f>
        <v/>
      </c>
      <c r="B24" s="27" t="s">
        <v>27</v>
      </c>
      <c r="C24" s="93" t="s">
        <v>27</v>
      </c>
      <c r="D24" s="94"/>
      <c r="E24" s="28" t="s">
        <v>27</v>
      </c>
      <c r="F24" s="32" t="s">
        <v>27</v>
      </c>
      <c r="G24" s="33" t="s">
        <v>27</v>
      </c>
      <c r="H24" s="31" t="s">
        <v>27</v>
      </c>
      <c r="I24" s="29" t="str">
        <f>+IFERROR(VLOOKUP(H24,#REF!,2,0),"")</f>
        <v/>
      </c>
      <c r="J24" s="30" t="s">
        <v>27</v>
      </c>
    </row>
    <row r="25" spans="1:10" s="34" customFormat="1" ht="23.25" customHeight="1" x14ac:dyDescent="0.25">
      <c r="A25" s="28" t="str">
        <f>IF(B25="","",COUNTA(B$12:$B25))</f>
        <v/>
      </c>
      <c r="B25" s="27" t="s">
        <v>27</v>
      </c>
      <c r="C25" s="93" t="s">
        <v>27</v>
      </c>
      <c r="D25" s="94"/>
      <c r="E25" s="28" t="s">
        <v>27</v>
      </c>
      <c r="F25" s="32" t="s">
        <v>27</v>
      </c>
      <c r="G25" s="31" t="s">
        <v>27</v>
      </c>
      <c r="H25" s="31" t="s">
        <v>27</v>
      </c>
      <c r="I25" s="29" t="str">
        <f>+IFERROR(VLOOKUP(H25,#REF!,2,0),"")</f>
        <v/>
      </c>
      <c r="J25" s="30" t="s">
        <v>27</v>
      </c>
    </row>
    <row r="26" spans="1:10" s="34" customFormat="1" ht="23.25" customHeight="1" x14ac:dyDescent="0.25">
      <c r="A26" s="28" t="str">
        <f>IF(B26="","",COUNTA(B$12:$B26))</f>
        <v/>
      </c>
      <c r="B26" s="27" t="s">
        <v>27</v>
      </c>
      <c r="C26" s="93" t="s">
        <v>27</v>
      </c>
      <c r="D26" s="94"/>
      <c r="E26" s="28" t="s">
        <v>27</v>
      </c>
      <c r="F26" s="22" t="s">
        <v>27</v>
      </c>
      <c r="G26" s="31" t="s">
        <v>27</v>
      </c>
      <c r="H26" s="31" t="s">
        <v>27</v>
      </c>
      <c r="I26" s="29" t="str">
        <f>+IFERROR(VLOOKUP(H26,#REF!,2,0),"")</f>
        <v/>
      </c>
      <c r="J26" s="30" t="s">
        <v>27</v>
      </c>
    </row>
    <row r="27" spans="1:10" s="34" customFormat="1" ht="23.25" customHeight="1" x14ac:dyDescent="0.25">
      <c r="A27" s="28" t="str">
        <f>IF(B27="","",COUNTA(B$12:$B27))</f>
        <v/>
      </c>
      <c r="B27" s="27" t="s">
        <v>27</v>
      </c>
      <c r="C27" s="93" t="s">
        <v>27</v>
      </c>
      <c r="D27" s="94"/>
      <c r="E27" s="28" t="s">
        <v>27</v>
      </c>
      <c r="F27" s="32" t="s">
        <v>27</v>
      </c>
      <c r="G27" s="31" t="s">
        <v>27</v>
      </c>
      <c r="H27" s="31" t="s">
        <v>27</v>
      </c>
      <c r="I27" s="29" t="str">
        <f>+IFERROR(VLOOKUP(H27,#REF!,2,0),"")</f>
        <v/>
      </c>
      <c r="J27" s="30" t="s">
        <v>27</v>
      </c>
    </row>
    <row r="28" spans="1:10" s="37" customFormat="1" ht="23.25" customHeight="1" x14ac:dyDescent="0.25">
      <c r="A28" s="28" t="str">
        <f>IF(B28="","",COUNTA(B$12:$B28))</f>
        <v/>
      </c>
      <c r="B28" s="27" t="s">
        <v>27</v>
      </c>
      <c r="C28" s="93" t="s">
        <v>27</v>
      </c>
      <c r="D28" s="94"/>
      <c r="E28" s="28" t="s">
        <v>27</v>
      </c>
      <c r="F28" s="32" t="s">
        <v>27</v>
      </c>
      <c r="G28" s="33" t="s">
        <v>27</v>
      </c>
      <c r="H28" s="33" t="s">
        <v>27</v>
      </c>
      <c r="I28" s="35" t="str">
        <f>+IFERROR(VLOOKUP(H28,#REF!,2,0),"")</f>
        <v/>
      </c>
      <c r="J28" s="36" t="s">
        <v>27</v>
      </c>
    </row>
    <row r="29" spans="1:10" s="34" customFormat="1" ht="23.25" customHeight="1" x14ac:dyDescent="0.25">
      <c r="A29" s="28" t="str">
        <f>IF(B29="","",COUNTA(B$12:$B29))</f>
        <v/>
      </c>
      <c r="B29" s="27" t="s">
        <v>27</v>
      </c>
      <c r="C29" s="93" t="s">
        <v>27</v>
      </c>
      <c r="D29" s="94"/>
      <c r="E29" s="28" t="s">
        <v>27</v>
      </c>
      <c r="F29" s="32" t="s">
        <v>27</v>
      </c>
      <c r="G29" s="31" t="s">
        <v>27</v>
      </c>
      <c r="H29" s="31" t="s">
        <v>27</v>
      </c>
      <c r="I29" s="29" t="str">
        <f>+IFERROR(VLOOKUP(H29,#REF!,2,0),"")</f>
        <v/>
      </c>
      <c r="J29" s="30" t="s">
        <v>27</v>
      </c>
    </row>
    <row r="30" spans="1:10" s="34" customFormat="1" ht="23.25" customHeight="1" x14ac:dyDescent="0.25">
      <c r="A30" s="28" t="str">
        <f>IF(B30="","",COUNTA(B$12:$B30))</f>
        <v/>
      </c>
      <c r="B30" s="27" t="s">
        <v>27</v>
      </c>
      <c r="C30" s="93" t="s">
        <v>27</v>
      </c>
      <c r="D30" s="94"/>
      <c r="E30" s="28" t="s">
        <v>27</v>
      </c>
      <c r="F30" s="32" t="s">
        <v>27</v>
      </c>
      <c r="G30" s="31" t="s">
        <v>27</v>
      </c>
      <c r="H30" s="31" t="s">
        <v>27</v>
      </c>
      <c r="I30" s="29" t="str">
        <f>+IFERROR(VLOOKUP(H30,#REF!,2,0),"")</f>
        <v/>
      </c>
      <c r="J30" s="30" t="s">
        <v>27</v>
      </c>
    </row>
    <row r="31" spans="1:10" s="34" customFormat="1" ht="23.25" customHeight="1" x14ac:dyDescent="0.25">
      <c r="A31" s="28" t="str">
        <f>IF(B31="","",COUNTA(B$12:$B31))</f>
        <v/>
      </c>
      <c r="B31" s="27" t="s">
        <v>27</v>
      </c>
      <c r="C31" s="93" t="s">
        <v>27</v>
      </c>
      <c r="D31" s="94"/>
      <c r="E31" s="28" t="s">
        <v>27</v>
      </c>
      <c r="F31" s="22" t="s">
        <v>27</v>
      </c>
      <c r="G31" s="31" t="s">
        <v>27</v>
      </c>
      <c r="H31" s="31" t="s">
        <v>27</v>
      </c>
      <c r="I31" s="29" t="str">
        <f>+IFERROR(VLOOKUP(H31,#REF!,2,0),"")</f>
        <v/>
      </c>
      <c r="J31" s="30" t="s">
        <v>27</v>
      </c>
    </row>
    <row r="32" spans="1:10" s="34" customFormat="1" ht="23.25" customHeight="1" x14ac:dyDescent="0.25">
      <c r="A32" s="28" t="str">
        <f>IF(B32="","",COUNTA(B$12:$B32))</f>
        <v/>
      </c>
      <c r="B32" s="27" t="s">
        <v>27</v>
      </c>
      <c r="C32" s="93" t="s">
        <v>27</v>
      </c>
      <c r="D32" s="94"/>
      <c r="E32" s="28" t="s">
        <v>27</v>
      </c>
      <c r="F32" s="32" t="s">
        <v>27</v>
      </c>
      <c r="G32" s="31" t="s">
        <v>27</v>
      </c>
      <c r="H32" s="31" t="s">
        <v>27</v>
      </c>
      <c r="I32" s="29" t="str">
        <f>+IFERROR(VLOOKUP(H32,#REF!,2,0),"")</f>
        <v/>
      </c>
      <c r="J32" s="30" t="s">
        <v>27</v>
      </c>
    </row>
    <row r="33" spans="1:10" s="34" customFormat="1" ht="23.25" customHeight="1" x14ac:dyDescent="0.25">
      <c r="A33" s="28" t="str">
        <f>IF(B33="","",COUNTA(B$12:$B33))</f>
        <v/>
      </c>
      <c r="B33" s="27" t="s">
        <v>27</v>
      </c>
      <c r="C33" s="93" t="s">
        <v>27</v>
      </c>
      <c r="D33" s="94"/>
      <c r="E33" s="28" t="s">
        <v>27</v>
      </c>
      <c r="F33" s="32" t="s">
        <v>27</v>
      </c>
      <c r="G33" s="31" t="s">
        <v>27</v>
      </c>
      <c r="H33" s="31" t="s">
        <v>27</v>
      </c>
      <c r="I33" s="29" t="str">
        <f>+IFERROR(VLOOKUP(H33,#REF!,2,0),"")</f>
        <v/>
      </c>
      <c r="J33" s="30" t="s">
        <v>27</v>
      </c>
    </row>
    <row r="34" spans="1:10" s="34" customFormat="1" ht="23.25" customHeight="1" x14ac:dyDescent="0.25">
      <c r="A34" s="28" t="str">
        <f>IF(B34="","",COUNTA(B$12:$B34))</f>
        <v/>
      </c>
      <c r="B34" s="27" t="s">
        <v>27</v>
      </c>
      <c r="C34" s="93" t="s">
        <v>27</v>
      </c>
      <c r="D34" s="94"/>
      <c r="E34" s="28" t="s">
        <v>27</v>
      </c>
      <c r="F34" s="32" t="s">
        <v>27</v>
      </c>
      <c r="G34" s="31" t="s">
        <v>27</v>
      </c>
      <c r="H34" s="31" t="s">
        <v>27</v>
      </c>
      <c r="I34" s="29" t="str">
        <f>+IFERROR(VLOOKUP(H34,#REF!,2,0),"")</f>
        <v/>
      </c>
      <c r="J34" s="30" t="s">
        <v>27</v>
      </c>
    </row>
    <row r="35" spans="1:10" s="34" customFormat="1" ht="23.25" customHeight="1" x14ac:dyDescent="0.25">
      <c r="A35" s="28" t="str">
        <f>IF(B35="","",COUNTA(B$12:$B35))</f>
        <v/>
      </c>
      <c r="B35" s="27" t="s">
        <v>27</v>
      </c>
      <c r="C35" s="93" t="s">
        <v>27</v>
      </c>
      <c r="D35" s="94"/>
      <c r="E35" s="28" t="s">
        <v>27</v>
      </c>
      <c r="F35" s="32" t="s">
        <v>27</v>
      </c>
      <c r="G35" s="31" t="s">
        <v>27</v>
      </c>
      <c r="H35" s="31" t="s">
        <v>27</v>
      </c>
      <c r="I35" s="29" t="str">
        <f>+IFERROR(VLOOKUP(H35,#REF!,2,0),"")</f>
        <v/>
      </c>
      <c r="J35" s="30" t="s">
        <v>27</v>
      </c>
    </row>
    <row r="36" spans="1:10" s="34" customFormat="1" ht="23.25" customHeight="1" x14ac:dyDescent="0.25">
      <c r="A36" s="28" t="str">
        <f>IF(B36="","",COUNTA(B$12:$B36))</f>
        <v/>
      </c>
      <c r="B36" s="27" t="s">
        <v>27</v>
      </c>
      <c r="C36" s="93" t="s">
        <v>27</v>
      </c>
      <c r="D36" s="94"/>
      <c r="E36" s="28" t="s">
        <v>27</v>
      </c>
      <c r="F36" s="32" t="s">
        <v>27</v>
      </c>
      <c r="G36" s="31" t="s">
        <v>27</v>
      </c>
      <c r="H36" s="31" t="s">
        <v>27</v>
      </c>
      <c r="I36" s="29" t="str">
        <f>+IFERROR(VLOOKUP(H36,#REF!,2,0),"")</f>
        <v/>
      </c>
      <c r="J36" s="30" t="s">
        <v>27</v>
      </c>
    </row>
    <row r="37" spans="1:10" s="34" customFormat="1" ht="23.25" customHeight="1" x14ac:dyDescent="0.25">
      <c r="A37" s="38" t="str">
        <f>IF(B37="","",COUNTA(B$12:$B37))</f>
        <v/>
      </c>
      <c r="B37" s="27" t="s">
        <v>27</v>
      </c>
      <c r="C37" s="93" t="s">
        <v>27</v>
      </c>
      <c r="D37" s="94"/>
      <c r="E37" s="28" t="s">
        <v>27</v>
      </c>
      <c r="F37" s="32" t="s">
        <v>27</v>
      </c>
      <c r="G37" s="31" t="s">
        <v>27</v>
      </c>
      <c r="H37" s="31" t="s">
        <v>27</v>
      </c>
      <c r="I37" s="29" t="str">
        <f>+IFERROR(VLOOKUP(H37,#REF!,2,0),"")</f>
        <v/>
      </c>
      <c r="J37" s="30" t="s">
        <v>27</v>
      </c>
    </row>
    <row r="38" spans="1:10" s="34" customFormat="1" ht="23.25" customHeight="1" x14ac:dyDescent="0.25">
      <c r="A38" s="38" t="str">
        <f>IF(B38="","",COUNTA(B$12:$B38))</f>
        <v/>
      </c>
      <c r="B38" s="27" t="s">
        <v>27</v>
      </c>
      <c r="C38" s="93" t="s">
        <v>27</v>
      </c>
      <c r="D38" s="94"/>
      <c r="E38" s="28" t="s">
        <v>27</v>
      </c>
      <c r="F38" s="32" t="s">
        <v>27</v>
      </c>
      <c r="G38" s="31" t="s">
        <v>27</v>
      </c>
      <c r="H38" s="31" t="s">
        <v>27</v>
      </c>
      <c r="I38" s="29" t="str">
        <f>+IFERROR(VLOOKUP(H38,#REF!,2,0),"")</f>
        <v/>
      </c>
      <c r="J38" s="30" t="s">
        <v>27</v>
      </c>
    </row>
    <row r="39" spans="1:10" s="34" customFormat="1" ht="23.25" customHeight="1" x14ac:dyDescent="0.25">
      <c r="A39" s="38" t="str">
        <f>IF(B39="","",COUNTA(B$12:$B39))</f>
        <v/>
      </c>
      <c r="B39" s="27" t="s">
        <v>27</v>
      </c>
      <c r="C39" s="93" t="s">
        <v>27</v>
      </c>
      <c r="D39" s="94"/>
      <c r="E39" s="28" t="s">
        <v>27</v>
      </c>
      <c r="F39" s="32" t="s">
        <v>27</v>
      </c>
      <c r="G39" s="31" t="s">
        <v>27</v>
      </c>
      <c r="H39" s="31" t="s">
        <v>27</v>
      </c>
      <c r="I39" s="29" t="str">
        <f>+IFERROR(VLOOKUP(H39,#REF!,2,0),"")</f>
        <v/>
      </c>
      <c r="J39" s="30" t="s">
        <v>27</v>
      </c>
    </row>
    <row r="40" spans="1:10" ht="23.25" customHeight="1" x14ac:dyDescent="0.25">
      <c r="A40" s="95" t="s">
        <v>13</v>
      </c>
      <c r="B40" s="96"/>
      <c r="C40" s="96"/>
      <c r="D40" s="97"/>
      <c r="E40" s="39"/>
      <c r="F40" s="40"/>
      <c r="G40" s="42"/>
      <c r="H40" s="43"/>
      <c r="I40" s="44"/>
      <c r="J40" s="41"/>
    </row>
    <row r="41" spans="1:10" ht="23.25" customHeight="1" x14ac:dyDescent="0.25">
      <c r="A41" s="95" t="s">
        <v>14</v>
      </c>
      <c r="B41" s="96"/>
      <c r="C41" s="96"/>
      <c r="D41" s="97"/>
      <c r="E41" s="39"/>
      <c r="F41" s="45"/>
      <c r="G41" s="42"/>
      <c r="H41" s="43"/>
      <c r="I41" s="44"/>
      <c r="J41" s="41"/>
    </row>
    <row r="42" spans="1:10" ht="23.25" customHeight="1" x14ac:dyDescent="0.25">
      <c r="A42" s="88" t="s">
        <v>15</v>
      </c>
      <c r="B42" s="89"/>
      <c r="C42" s="89"/>
      <c r="D42" s="90"/>
      <c r="E42" s="46"/>
      <c r="F42" s="47"/>
      <c r="G42" s="42"/>
      <c r="H42" s="43"/>
      <c r="I42" s="44"/>
      <c r="J42" s="41"/>
    </row>
    <row r="43" spans="1:10" ht="22.5" customHeight="1" x14ac:dyDescent="0.25">
      <c r="A43" s="91"/>
      <c r="B43" s="91"/>
      <c r="C43" s="91"/>
      <c r="D43" s="91"/>
      <c r="E43" s="91"/>
      <c r="F43" s="91"/>
      <c r="G43" s="48"/>
      <c r="H43" s="49"/>
      <c r="I43" s="50"/>
      <c r="J43" s="48"/>
    </row>
    <row r="44" spans="1:10" ht="22.5" customHeight="1" x14ac:dyDescent="0.25">
      <c r="A44" s="92" t="s">
        <v>16</v>
      </c>
      <c r="B44" s="92"/>
      <c r="C44" s="92"/>
      <c r="D44" s="92"/>
      <c r="E44" s="92"/>
      <c r="F44" s="92"/>
      <c r="G44" s="48"/>
      <c r="H44" s="49"/>
      <c r="I44" s="50"/>
      <c r="J44" s="48"/>
    </row>
    <row r="45" spans="1:10" ht="19.5" customHeight="1" x14ac:dyDescent="0.25">
      <c r="B45" s="85" t="s">
        <v>17</v>
      </c>
      <c r="C45" s="85"/>
      <c r="D45" s="86" t="str">
        <f>IF(LEFT($E$7,3)="pnk","Phòng mua hàng","Người nhận hàng")</f>
        <v>Người nhận hàng</v>
      </c>
      <c r="E45" s="85"/>
      <c r="F45" s="85"/>
      <c r="G45" s="87" t="s">
        <v>18</v>
      </c>
      <c r="H45" s="87"/>
      <c r="I45" s="87"/>
      <c r="J45" s="87"/>
    </row>
    <row r="46" spans="1:10" x14ac:dyDescent="0.25">
      <c r="C46" s="1"/>
      <c r="D46" s="1"/>
      <c r="J46" s="52"/>
    </row>
    <row r="50" spans="2:10" ht="19.5" customHeight="1" x14ac:dyDescent="0.25">
      <c r="B50" s="85" t="s">
        <v>19</v>
      </c>
      <c r="C50" s="84"/>
      <c r="D50" s="86" t="str">
        <f>IF(LEFT($E$7,3)="PNK","Trần Thị Hồng Thủy","Nguyễn Văn Bắc")</f>
        <v>Nguyễn Văn Bắc</v>
      </c>
      <c r="E50" s="86"/>
      <c r="F50" s="86"/>
      <c r="G50" s="56"/>
      <c r="H50" s="57"/>
      <c r="I50" s="58"/>
      <c r="J50" s="59"/>
    </row>
    <row r="412" spans="1:10" x14ac:dyDescent="0.25">
      <c r="A412" s="1" t="s">
        <v>20</v>
      </c>
      <c r="B412" s="2" t="s">
        <v>20</v>
      </c>
      <c r="E412" s="60">
        <v>156</v>
      </c>
      <c r="F412" s="7"/>
      <c r="G412" s="7"/>
      <c r="H412" s="7"/>
      <c r="I412" s="7"/>
      <c r="J412" s="7"/>
    </row>
    <row r="413" spans="1:10" x14ac:dyDescent="0.25">
      <c r="B413" s="2" t="s">
        <v>20</v>
      </c>
      <c r="E413" s="60">
        <v>56</v>
      </c>
      <c r="F413" s="7"/>
      <c r="G413" s="7"/>
      <c r="H413" s="7"/>
      <c r="I413" s="7"/>
      <c r="J413" s="7"/>
    </row>
    <row r="414" spans="1:10" x14ac:dyDescent="0.25">
      <c r="B414" s="2" t="s">
        <v>20</v>
      </c>
      <c r="E414" s="60">
        <v>3</v>
      </c>
      <c r="F414" s="7"/>
      <c r="G414" s="7"/>
      <c r="H414" s="7"/>
      <c r="I414" s="7"/>
      <c r="J414" s="7"/>
    </row>
    <row r="415" spans="1:10" x14ac:dyDescent="0.25">
      <c r="B415" s="2" t="s">
        <v>20</v>
      </c>
      <c r="E415" s="60">
        <v>2</v>
      </c>
      <c r="F415" s="7"/>
      <c r="G415" s="7"/>
      <c r="H415" s="7"/>
      <c r="I415" s="7"/>
      <c r="J415" s="7"/>
    </row>
    <row r="416" spans="1:10" x14ac:dyDescent="0.25">
      <c r="B416" s="2" t="s">
        <v>20</v>
      </c>
      <c r="E416" s="60">
        <v>229</v>
      </c>
      <c r="F416" s="7"/>
      <c r="G416" s="7"/>
      <c r="H416" s="7"/>
      <c r="I416" s="7"/>
      <c r="J416" s="7"/>
    </row>
    <row r="417" spans="2:5" s="7" customFormat="1" x14ac:dyDescent="0.25">
      <c r="B417" s="2" t="s">
        <v>20</v>
      </c>
      <c r="E417" s="1">
        <v>4</v>
      </c>
    </row>
  </sheetData>
  <mergeCells count="37">
    <mergeCell ref="H1:J1"/>
    <mergeCell ref="A8:B8"/>
    <mergeCell ref="C11:D11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5:D35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G45:J45"/>
    <mergeCell ref="A42:D42"/>
    <mergeCell ref="A43:F43"/>
    <mergeCell ref="A44:F44"/>
    <mergeCell ref="C36:D36"/>
    <mergeCell ref="C37:D37"/>
    <mergeCell ref="C38:D38"/>
    <mergeCell ref="C39:D39"/>
    <mergeCell ref="A40:D40"/>
    <mergeCell ref="A41:D41"/>
  </mergeCells>
  <pageMargins left="0.55118110236220474" right="0.19685039370078741" top="0.15748031496062992" bottom="0.15748031496062992" header="0.15748031496062992" footer="0.31496062992125984"/>
  <pageSetup paperSize="9" scale="53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Phiếu X-N</vt:lpstr>
      <vt:lpstr>'Phiếu X-N'!Print_Area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Đức Duy</dc:creator>
  <cp:lastModifiedBy>Phạm Đức Duy</cp:lastModifiedBy>
  <dcterms:created xsi:type="dcterms:W3CDTF">2026-02-07T08:51:10Z</dcterms:created>
  <dcterms:modified xsi:type="dcterms:W3CDTF">2026-02-07T09:45:01Z</dcterms:modified>
</cp:coreProperties>
</file>