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pp quan ly kho\"/>
    </mc:Choice>
  </mc:AlternateContent>
  <xr:revisionPtr revIDLastSave="0" documentId="13_ncr:1_{535F6672-77CB-4F49-9411-E43FB1BE0BB8}" xr6:coauthVersionLast="47" xr6:coauthVersionMax="47" xr10:uidLastSave="{00000000-0000-0000-0000-000000000000}"/>
  <bookViews>
    <workbookView xWindow="-120" yWindow="-120" windowWidth="29040" windowHeight="15720" xr2:uid="{7E77E608-58A8-4F89-B739-F388FEACF117}"/>
  </bookViews>
  <sheets>
    <sheet name="Phiếu X-N" sheetId="1" r:id="rId1"/>
  </sheets>
  <definedNames>
    <definedName name="_Fill" localSheetId="0" hidden="1">#REF!</definedName>
    <definedName name="_Fill" hidden="1">#REF!</definedName>
    <definedName name="a" localSheetId="0" hidden="1">#REF!</definedName>
    <definedName name="a" hidden="1">#REF!</definedName>
    <definedName name="dskh">#REF!</definedName>
    <definedName name="gia" localSheetId="0">#REF!</definedName>
    <definedName name="gia">#REF!</definedName>
    <definedName name="_xlnm.Print_Area" localSheetId="0">'Phiếu X-N'!$A$1:$J$37</definedName>
    <definedName name="thk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A30" i="1"/>
  <c r="I29" i="1"/>
  <c r="A29" i="1"/>
  <c r="I28" i="1"/>
  <c r="A28" i="1"/>
  <c r="I27" i="1"/>
  <c r="A27" i="1"/>
  <c r="D37" i="1" l="1"/>
  <c r="A13" i="1" l="1"/>
  <c r="I13" i="1"/>
  <c r="I14" i="1" l="1"/>
  <c r="A14" i="1"/>
  <c r="A15" i="1"/>
  <c r="I15" i="1" l="1"/>
  <c r="A16" i="1"/>
  <c r="A17" i="1" l="1"/>
  <c r="I16" i="1"/>
  <c r="I17" i="1" l="1"/>
  <c r="I18" i="1" l="1"/>
  <c r="A18" i="1"/>
  <c r="I19" i="1"/>
  <c r="A19" i="1" l="1"/>
  <c r="I20" i="1"/>
  <c r="A20" i="1"/>
  <c r="I21" i="1" l="1"/>
  <c r="A21" i="1"/>
  <c r="I22" i="1" l="1"/>
  <c r="A22" i="1"/>
  <c r="I23" i="1" l="1"/>
  <c r="A23" i="1"/>
  <c r="A24" i="1" l="1"/>
  <c r="I24" i="1"/>
  <c r="A25" i="1" l="1"/>
  <c r="I25" i="1"/>
</calcChain>
</file>

<file path=xl/sharedStrings.xml><?xml version="1.0" encoding="utf-8"?>
<sst xmlns="http://schemas.openxmlformats.org/spreadsheetml/2006/main" count="155" uniqueCount="31">
  <si>
    <t>CÔNG TY CỔ PHẦN HL WINDOWS</t>
  </si>
  <si>
    <t xml:space="preserve">Mẫu số 01 - VT </t>
  </si>
  <si>
    <t>Địa Chỉ: Nhà T11-A62, KĐT Văn Quán - Yên Phúc, Văn Quán, Hà Đông, Hà Nội</t>
  </si>
  <si>
    <t>(theo thông tư 200/2014/TT-BTC ngày 22/12/20214 của BTC)</t>
  </si>
  <si>
    <t>Mã số thuế: 0109499690</t>
  </si>
  <si>
    <t xml:space="preserve">Nhập vật tư theo đề nghị mua vật tư được duyệt  số           ngày </t>
  </si>
  <si>
    <t>STT</t>
  </si>
  <si>
    <t>Mã vật tư</t>
  </si>
  <si>
    <t>Tên vật tư</t>
  </si>
  <si>
    <t>ĐVT</t>
  </si>
  <si>
    <t>Phiếu yêu cầu mua hàng</t>
    <phoneticPr fontId="4" type="noConversion"/>
  </si>
  <si>
    <t>Ngày đề xuất</t>
    <phoneticPr fontId="4" type="noConversion"/>
  </si>
  <si>
    <t>Ghi chú</t>
  </si>
  <si>
    <t xml:space="preserve">Tổng tiền </t>
  </si>
  <si>
    <t xml:space="preserve">Thuế GTGT </t>
  </si>
  <si>
    <t>Tổng Thanh toán</t>
  </si>
  <si>
    <t xml:space="preserve">Chứng từ kèm theo: </t>
  </si>
  <si>
    <t>Người lập</t>
  </si>
  <si>
    <t>Kế Toán Kho                                               Ban lãnh đạo</t>
    <phoneticPr fontId="4" type="noConversion"/>
  </si>
  <si>
    <t>Vũ Thị Hon</t>
  </si>
  <si>
    <t>lv130</t>
  </si>
  <si>
    <t>Nhà máy SX: Đường C1, Khu C, KCN Phố Nối A, X.Như Quỳnh, Tỉnh Hưng Yên</t>
  </si>
  <si>
    <t>Lý do nhập kho:</t>
  </si>
  <si>
    <t>PHIẾU NHẬP KHO VẬT TƯ</t>
  </si>
  <si>
    <t>Người bán hàng:</t>
  </si>
  <si>
    <t/>
  </si>
  <si>
    <t>Số lượng</t>
  </si>
  <si>
    <t>Dự án/ Đơn hàng sử dụng</t>
  </si>
  <si>
    <t>Ngày 24 tháng 02 năm 2026</t>
  </si>
  <si>
    <t>Số: PXK/OG/26/000001</t>
  </si>
  <si>
    <t>Người nhận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</si>
</sst>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Arial"/>
      <family val="2"/>
      <scheme val="minor"/>
    </font>
    <font>
      <u/>
      <sz val="11"/>
      <color theme="10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2"/>
    </font>
    <font>
      <b/>
      <sz val="1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2" fillId="0" borderId="0"/>
  </cellStyleXfs>
  <cellXfs count="10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left" vertical="center" wrapText="1"/>
    </xf>
    <xf numFmtId="165" fontId="3" fillId="0" borderId="0" xfId="1" applyNumberFormat="1" applyFont="1" applyAlignment="1">
      <alignment horizontal="center" vertical="center" wrapText="1"/>
    </xf>
    <xf numFmtId="0" fontId="2" fillId="0" borderId="0" xfId="0" applyFont="1"/>
    <xf numFmtId="0" fontId="6" fillId="2" borderId="0" xfId="3" applyFont="1" applyFill="1" applyAlignment="1">
      <alignment horizontal="center" vertical="center"/>
    </xf>
    <xf numFmtId="0" fontId="4" fillId="0" borderId="0" xfId="0" applyFont="1"/>
    <xf numFmtId="165" fontId="4" fillId="0" borderId="0" xfId="1" applyNumberFormat="1" applyFont="1" applyAlignment="1">
      <alignment horizontal="left" vertical="top" wrapText="1"/>
    </xf>
    <xf numFmtId="165" fontId="4" fillId="0" borderId="0" xfId="1" applyNumberFormat="1" applyFont="1" applyAlignment="1">
      <alignment horizontal="center" vertical="top" wrapText="1"/>
    </xf>
    <xf numFmtId="165" fontId="4" fillId="0" borderId="0" xfId="1" applyNumberFormat="1" applyFont="1" applyAlignment="1">
      <alignment vertical="top" wrapText="1"/>
    </xf>
    <xf numFmtId="165" fontId="4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65" fontId="8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left"/>
    </xf>
    <xf numFmtId="0" fontId="2" fillId="0" borderId="0" xfId="0" applyFont="1" applyAlignment="1">
      <alignment vertical="center"/>
    </xf>
    <xf numFmtId="14" fontId="8" fillId="0" borderId="0" xfId="1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165" fontId="7" fillId="0" borderId="0" xfId="1" applyNumberFormat="1" applyFont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1" xfId="1" applyFont="1" applyFill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left" vertical="center" wrapText="1"/>
    </xf>
    <xf numFmtId="165" fontId="8" fillId="0" borderId="1" xfId="1" applyNumberFormat="1" applyFont="1" applyBorder="1" applyAlignment="1">
      <alignment horizontal="left" vertical="top" wrapText="1"/>
    </xf>
    <xf numFmtId="14" fontId="8" fillId="0" borderId="1" xfId="1" applyNumberFormat="1" applyFont="1" applyFill="1" applyBorder="1" applyAlignment="1">
      <alignment horizontal="left" vertical="center" wrapText="1"/>
    </xf>
    <xf numFmtId="165" fontId="10" fillId="0" borderId="1" xfId="1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8" fillId="0" borderId="1" xfId="1" applyNumberFormat="1" applyFont="1" applyBorder="1" applyAlignment="1">
      <alignment horizontal="left" vertical="center" wrapText="1"/>
    </xf>
    <xf numFmtId="165" fontId="10" fillId="0" borderId="1" xfId="1" applyNumberFormat="1" applyFont="1" applyBorder="1" applyAlignment="1">
      <alignment horizontal="left" vertical="center" wrapText="1"/>
    </xf>
    <xf numFmtId="165" fontId="8" fillId="0" borderId="1" xfId="1" applyNumberFormat="1" applyFont="1" applyFill="1" applyBorder="1" applyAlignment="1">
      <alignment horizontal="left" vertical="top" wrapText="1"/>
    </xf>
    <xf numFmtId="165" fontId="8" fillId="0" borderId="1" xfId="1" applyNumberFormat="1" applyFont="1" applyBorder="1" applyAlignment="1">
      <alignment horizontal="left" vertical="center" wrapText="1"/>
    </xf>
    <xf numFmtId="164" fontId="8" fillId="3" borderId="1" xfId="1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165" fontId="9" fillId="0" borderId="1" xfId="1" applyNumberFormat="1" applyFont="1" applyBorder="1" applyAlignment="1">
      <alignment vertical="center"/>
    </xf>
    <xf numFmtId="14" fontId="9" fillId="0" borderId="1" xfId="1" applyNumberFormat="1" applyFont="1" applyBorder="1" applyAlignment="1">
      <alignment vertical="center"/>
    </xf>
    <xf numFmtId="0" fontId="11" fillId="0" borderId="5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vertical="center"/>
    </xf>
    <xf numFmtId="14" fontId="2" fillId="0" borderId="0" xfId="1" applyNumberFormat="1" applyFont="1" applyAlignment="1">
      <alignment vertical="center"/>
    </xf>
    <xf numFmtId="165" fontId="9" fillId="0" borderId="0" xfId="1" applyNumberFormat="1" applyFont="1" applyAlignment="1">
      <alignment vertical="center"/>
    </xf>
    <xf numFmtId="14" fontId="9" fillId="0" borderId="0" xfId="1" applyNumberFormat="1" applyFont="1" applyAlignment="1">
      <alignment vertical="center"/>
    </xf>
    <xf numFmtId="1" fontId="13" fillId="4" borderId="1" xfId="4" applyNumberFormat="1" applyFont="1" applyFill="1" applyBorder="1" applyAlignment="1">
      <alignment vertical="center"/>
    </xf>
    <xf numFmtId="165" fontId="2" fillId="0" borderId="0" xfId="1" applyNumberFormat="1" applyFont="1"/>
    <xf numFmtId="0" fontId="9" fillId="0" borderId="0" xfId="0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Border="1" applyAlignment="1">
      <alignment horizontal="right"/>
    </xf>
    <xf numFmtId="14" fontId="8" fillId="3" borderId="0" xfId="0" applyNumberFormat="1" applyFont="1" applyFill="1" applyBorder="1"/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165" fontId="15" fillId="3" borderId="1" xfId="1" applyNumberFormat="1" applyFont="1" applyFill="1" applyBorder="1" applyAlignment="1">
      <alignment horizontal="center" vertical="center" wrapText="1"/>
    </xf>
    <xf numFmtId="165" fontId="15" fillId="0" borderId="1" xfId="1" applyNumberFormat="1" applyFont="1" applyBorder="1" applyAlignment="1">
      <alignment horizontal="center" vertical="center" wrapText="1"/>
    </xf>
    <xf numFmtId="14" fontId="15" fillId="0" borderId="1" xfId="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5" fontId="7" fillId="0" borderId="0" xfId="1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65" fontId="14" fillId="3" borderId="0" xfId="1" quotePrefix="1" applyNumberFormat="1" applyFont="1" applyFill="1" applyBorder="1" applyAlignment="1">
      <alignment horizontal="center" vertical="center"/>
    </xf>
    <xf numFmtId="0" fontId="16" fillId="0" borderId="0" xfId="0" applyFont="1"/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8" fillId="3" borderId="1" xfId="1" applyFont="1" applyFill="1" applyBorder="1" applyAlignment="1">
      <alignment horizontal="center" vertical="center"/>
    </xf>
    <xf numFmtId="165" fontId="9" fillId="0" borderId="1" xfId="1" applyNumberFormat="1" applyFont="1" applyBorder="1" applyAlignment="1">
      <alignment horizontal="left" vertical="center"/>
    </xf>
    <xf numFmtId="9" fontId="8" fillId="3" borderId="1" xfId="2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</cellXfs>
  <cellStyles count="5">
    <cellStyle name="Comma" xfId="1" builtinId="3"/>
    <cellStyle name="Hyperlink" xfId="3" builtinId="8"/>
    <cellStyle name="Normal" xfId="0" builtinId="0"/>
    <cellStyle name="Normal 2 2 3 3" xfId="4" xr:uid="{97C76995-98B3-4238-ACC2-B28BE903B6D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238124</xdr:colOff>
      <xdr:row>0</xdr:row>
      <xdr:rowOff>35718</xdr:rowOff>
    </xdr:from>
    <xdr:to>
      <xdr:col>1</xdr:col>
      <xdr:colOff>786941</xdr:colOff>
      <xdr:row>4</xdr:row>
      <xdr:rowOff>59531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D94BA-AA51-4916-9ABC-3FBD3E549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4" y="35718"/>
          <a:ext cx="1120317" cy="976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60ED-2FE3-486B-94AC-C259768CB575}">
  <sheetPr>
    <pageSetUpPr fitToPage="1"/>
  </sheetPr>
  <dimension ref="A1:L404"/>
  <sheetViews>
    <sheetView showGridLines="0" tabSelected="1" view="pageBreakPreview" topLeftCell="A20" zoomScale="80" zoomScaleNormal="85" zoomScaleSheetLayoutView="80" zoomScalePageLayoutView="80" workbookViewId="0">
      <selection activeCell="N26" sqref="N26"/>
    </sheetView>
  </sheetViews>
  <sheetFormatPr defaultColWidth="9.125" defaultRowHeight="15" x14ac:dyDescent="0.25"/>
  <cols>
    <col min="1" max="1" width="7.5" style="1" customWidth="1"/>
    <col min="2" max="2" width="13.25" style="2" customWidth="1"/>
    <col min="3" max="3" width="9.625" style="8" customWidth="1"/>
    <col min="4" max="4" width="31.375" style="8" customWidth="1"/>
    <col min="5" max="5" width="9.75" style="1" customWidth="1"/>
    <col min="6" max="6" width="16" style="62" bestFit="1" customWidth="1"/>
    <col min="7" max="7" width="31" style="63" customWidth="1"/>
    <col min="8" max="8" width="17.875" style="64" customWidth="1"/>
    <col min="9" max="9" width="19.375" style="65" customWidth="1"/>
    <col min="10" max="10" width="13.5" style="69" customWidth="1"/>
    <col min="11" max="11" width="9.125" style="8"/>
    <col min="12" max="12" width="15" style="8" customWidth="1"/>
    <col min="13" max="16384" width="9.125" style="8"/>
  </cols>
  <sheetData>
    <row r="1" spans="1:12" ht="18.75" customHeight="1" x14ac:dyDescent="0.25">
      <c r="C1" s="93" t="s">
        <v>0</v>
      </c>
      <c r="D1" s="3"/>
      <c r="E1" s="4"/>
      <c r="F1" s="5"/>
      <c r="G1" s="6"/>
      <c r="H1" s="7" t="s">
        <v>1</v>
      </c>
      <c r="I1" s="7"/>
      <c r="J1" s="7"/>
      <c r="L1" s="9"/>
    </row>
    <row r="2" spans="1:12" ht="18.75" customHeight="1" x14ac:dyDescent="0.25">
      <c r="C2" s="8" t="s">
        <v>2</v>
      </c>
      <c r="D2" s="10"/>
      <c r="E2" s="4"/>
      <c r="F2" s="4"/>
      <c r="G2" s="11"/>
      <c r="H2" s="12" t="s">
        <v>3</v>
      </c>
      <c r="I2" s="12"/>
      <c r="J2" s="12"/>
    </row>
    <row r="3" spans="1:12" ht="18.75" customHeight="1" x14ac:dyDescent="0.25">
      <c r="C3" s="8" t="s">
        <v>21</v>
      </c>
      <c r="D3" s="10"/>
      <c r="E3" s="4"/>
      <c r="F3" s="5"/>
      <c r="G3" s="11"/>
      <c r="H3" s="12"/>
      <c r="I3" s="12"/>
      <c r="J3" s="12"/>
    </row>
    <row r="4" spans="1:12" ht="18.75" customHeight="1" x14ac:dyDescent="0.25">
      <c r="C4" s="8" t="s">
        <v>4</v>
      </c>
      <c r="D4" s="10"/>
      <c r="E4" s="4"/>
      <c r="F4" s="5"/>
      <c r="G4" s="11"/>
      <c r="H4" s="14"/>
      <c r="I4" s="14"/>
      <c r="J4" s="13"/>
    </row>
    <row r="5" spans="1:12" ht="31.5" customHeight="1" x14ac:dyDescent="0.25">
      <c r="A5" s="15" t="s">
        <v>23</v>
      </c>
      <c r="B5" s="15"/>
      <c r="C5" s="15"/>
      <c r="D5" s="15"/>
      <c r="E5" s="15"/>
      <c r="F5" s="15"/>
      <c r="G5" s="15"/>
      <c r="H5" s="15"/>
      <c r="I5" s="15"/>
      <c r="J5" s="15"/>
    </row>
    <row r="6" spans="1:12" ht="18.75" customHeight="1" x14ac:dyDescent="0.25">
      <c r="A6" s="28"/>
      <c r="B6" s="28"/>
      <c r="C6" s="28"/>
      <c r="D6" s="28"/>
      <c r="E6" s="28"/>
      <c r="F6" s="91" t="s">
        <v>28</v>
      </c>
      <c r="G6" s="16"/>
      <c r="H6" s="17"/>
      <c r="I6" s="18"/>
      <c r="J6" s="19"/>
    </row>
    <row r="7" spans="1:12" ht="27.75" customHeight="1" x14ac:dyDescent="0.25">
      <c r="A7" s="20"/>
      <c r="B7" s="21"/>
      <c r="C7" s="20"/>
      <c r="D7" s="74"/>
      <c r="E7" s="75"/>
      <c r="F7" s="92" t="s">
        <v>29</v>
      </c>
      <c r="G7" s="23"/>
      <c r="H7" s="24"/>
      <c r="I7" s="25"/>
      <c r="J7" s="22"/>
    </row>
    <row r="8" spans="1:12" s="24" customFormat="1" ht="29.25" customHeight="1" x14ac:dyDescent="0.2">
      <c r="A8" s="82" t="s">
        <v>24</v>
      </c>
      <c r="B8" s="82"/>
      <c r="C8" s="26"/>
      <c r="D8" s="26"/>
      <c r="E8" s="83"/>
      <c r="F8" s="84"/>
      <c r="G8" s="85"/>
      <c r="H8" s="26"/>
      <c r="I8" s="27"/>
      <c r="J8" s="85"/>
    </row>
    <row r="9" spans="1:12" s="24" customFormat="1" ht="29.25" customHeight="1" x14ac:dyDescent="0.2">
      <c r="A9" s="86" t="s">
        <v>22</v>
      </c>
      <c r="B9" s="86"/>
      <c r="C9" s="26"/>
      <c r="D9" s="28"/>
      <c r="E9" s="17"/>
      <c r="F9" s="17"/>
      <c r="G9" s="87"/>
      <c r="H9" s="28"/>
      <c r="I9" s="29"/>
      <c r="J9" s="87"/>
    </row>
    <row r="10" spans="1:12" s="24" customFormat="1" ht="29.25" customHeight="1" x14ac:dyDescent="0.2">
      <c r="A10" s="86" t="s">
        <v>5</v>
      </c>
      <c r="B10" s="88"/>
      <c r="C10" s="89"/>
      <c r="D10" s="89"/>
      <c r="E10" s="89"/>
      <c r="F10" s="30"/>
      <c r="G10" s="90"/>
      <c r="H10" s="30"/>
      <c r="I10" s="31"/>
      <c r="J10" s="30"/>
    </row>
    <row r="11" spans="1:12" ht="35.25" customHeight="1" x14ac:dyDescent="0.25">
      <c r="A11" s="76" t="s">
        <v>6</v>
      </c>
      <c r="B11" s="76" t="s">
        <v>7</v>
      </c>
      <c r="C11" s="77" t="s">
        <v>8</v>
      </c>
      <c r="D11" s="78"/>
      <c r="E11" s="76" t="s">
        <v>9</v>
      </c>
      <c r="F11" s="79" t="s">
        <v>26</v>
      </c>
      <c r="G11" s="80" t="s">
        <v>27</v>
      </c>
      <c r="H11" s="80" t="s">
        <v>10</v>
      </c>
      <c r="I11" s="81" t="s">
        <v>11</v>
      </c>
      <c r="J11" s="80" t="s">
        <v>12</v>
      </c>
    </row>
    <row r="12" spans="1:12" s="42" customFormat="1" ht="30.75" customHeight="1" x14ac:dyDescent="0.2">
      <c r="A12" s="32"/>
      <c r="B12" s="33"/>
      <c r="C12" s="34"/>
      <c r="D12" s="35"/>
      <c r="E12" s="36"/>
      <c r="F12" s="37"/>
      <c r="G12" s="38"/>
      <c r="H12" s="39"/>
      <c r="I12" s="40"/>
      <c r="J12" s="41"/>
    </row>
    <row r="13" spans="1:12" s="42" customFormat="1" ht="30.75" customHeight="1" x14ac:dyDescent="0.2">
      <c r="A13" s="43" t="str">
        <f>IF(B13="","",COUNTA(B$12:$B13))</f>
        <v/>
      </c>
      <c r="B13" s="44" t="s">
        <v>25</v>
      </c>
      <c r="C13" s="45" t="s">
        <v>25</v>
      </c>
      <c r="D13" s="46"/>
      <c r="E13" s="47" t="s">
        <v>25</v>
      </c>
      <c r="F13" s="37" t="s">
        <v>25</v>
      </c>
      <c r="G13" s="38" t="s">
        <v>25</v>
      </c>
      <c r="H13" s="39" t="s">
        <v>25</v>
      </c>
      <c r="I13" s="48" t="str">
        <f>+IFERROR(VLOOKUP(H13,#REF!,2,0),"")</f>
        <v/>
      </c>
      <c r="J13" s="49" t="s">
        <v>25</v>
      </c>
    </row>
    <row r="14" spans="1:12" s="42" customFormat="1" ht="30.75" customHeight="1" x14ac:dyDescent="0.2">
      <c r="A14" s="32" t="str">
        <f>IF(B14="","",COUNTA(B$12:$B14))</f>
        <v/>
      </c>
      <c r="B14" s="33" t="s">
        <v>25</v>
      </c>
      <c r="C14" s="34" t="s">
        <v>25</v>
      </c>
      <c r="D14" s="35"/>
      <c r="E14" s="36" t="s">
        <v>25</v>
      </c>
      <c r="F14" s="37" t="s">
        <v>25</v>
      </c>
      <c r="G14" s="38" t="s">
        <v>25</v>
      </c>
      <c r="H14" s="50" t="s">
        <v>25</v>
      </c>
      <c r="I14" s="40" t="str">
        <f>+IFERROR(VLOOKUP(H14,#REF!,2,0),"")</f>
        <v/>
      </c>
      <c r="J14" s="41" t="s">
        <v>25</v>
      </c>
    </row>
    <row r="15" spans="1:12" s="42" customFormat="1" ht="30.75" customHeight="1" x14ac:dyDescent="0.2">
      <c r="A15" s="32" t="str">
        <f>IF(B15="","",COUNTA(B$12:$B15))</f>
        <v/>
      </c>
      <c r="B15" s="33" t="s">
        <v>25</v>
      </c>
      <c r="C15" s="34" t="s">
        <v>25</v>
      </c>
      <c r="D15" s="35"/>
      <c r="E15" s="36" t="s">
        <v>25</v>
      </c>
      <c r="F15" s="37" t="s">
        <v>25</v>
      </c>
      <c r="G15" s="38" t="s">
        <v>25</v>
      </c>
      <c r="H15" s="50" t="s">
        <v>25</v>
      </c>
      <c r="I15" s="40" t="str">
        <f>+IFERROR(VLOOKUP(H15,#REF!,2,0),"")</f>
        <v/>
      </c>
      <c r="J15" s="41" t="s">
        <v>25</v>
      </c>
    </row>
    <row r="16" spans="1:12" s="42" customFormat="1" ht="30.75" customHeight="1" x14ac:dyDescent="0.2">
      <c r="A16" s="43" t="str">
        <f>IF(B16="","",COUNTA(B$12:$B16))</f>
        <v/>
      </c>
      <c r="B16" s="33" t="s">
        <v>25</v>
      </c>
      <c r="C16" s="34" t="s">
        <v>25</v>
      </c>
      <c r="D16" s="35"/>
      <c r="E16" s="47" t="s">
        <v>25</v>
      </c>
      <c r="F16" s="37" t="s">
        <v>25</v>
      </c>
      <c r="G16" s="38" t="s">
        <v>25</v>
      </c>
      <c r="H16" s="39" t="s">
        <v>25</v>
      </c>
      <c r="I16" s="48" t="str">
        <f>+IFERROR(VLOOKUP(H16,#REF!,2,0),"")</f>
        <v/>
      </c>
      <c r="J16" s="49" t="s">
        <v>25</v>
      </c>
    </row>
    <row r="17" spans="1:10" s="42" customFormat="1" ht="30.75" customHeight="1" x14ac:dyDescent="0.2">
      <c r="A17" s="32" t="str">
        <f>IF(B17="","",COUNTA(B$12:$B17))</f>
        <v/>
      </c>
      <c r="B17" s="33" t="s">
        <v>25</v>
      </c>
      <c r="C17" s="34" t="s">
        <v>25</v>
      </c>
      <c r="D17" s="35"/>
      <c r="E17" s="36" t="s">
        <v>25</v>
      </c>
      <c r="F17" s="37" t="s">
        <v>25</v>
      </c>
      <c r="G17" s="38" t="s">
        <v>25</v>
      </c>
      <c r="H17" s="50" t="s">
        <v>25</v>
      </c>
      <c r="I17" s="40" t="str">
        <f>+IFERROR(VLOOKUP(H17,#REF!,2,0),"")</f>
        <v/>
      </c>
      <c r="J17" s="41" t="s">
        <v>25</v>
      </c>
    </row>
    <row r="18" spans="1:10" s="42" customFormat="1" ht="30.75" customHeight="1" x14ac:dyDescent="0.2">
      <c r="A18" s="43" t="str">
        <f>IF(B18="","",COUNTA(B$12:$B18))</f>
        <v/>
      </c>
      <c r="B18" s="44" t="s">
        <v>25</v>
      </c>
      <c r="C18" s="45" t="s">
        <v>25</v>
      </c>
      <c r="D18" s="46"/>
      <c r="E18" s="47" t="s">
        <v>25</v>
      </c>
      <c r="F18" s="37" t="s">
        <v>25</v>
      </c>
      <c r="G18" s="51" t="s">
        <v>25</v>
      </c>
      <c r="H18" s="39" t="s">
        <v>25</v>
      </c>
      <c r="I18" s="48" t="str">
        <f>+IFERROR(VLOOKUP(H18,#REF!,2,0),"")</f>
        <v/>
      </c>
      <c r="J18" s="49" t="s">
        <v>25</v>
      </c>
    </row>
    <row r="19" spans="1:10" s="42" customFormat="1" ht="30.75" customHeight="1" x14ac:dyDescent="0.2">
      <c r="A19" s="43" t="str">
        <f>IF(B19="","",COUNTA(B$12:$B19))</f>
        <v/>
      </c>
      <c r="B19" s="44" t="s">
        <v>25</v>
      </c>
      <c r="C19" s="45" t="s">
        <v>25</v>
      </c>
      <c r="D19" s="46"/>
      <c r="E19" s="47" t="s">
        <v>25</v>
      </c>
      <c r="F19" s="37" t="s">
        <v>25</v>
      </c>
      <c r="G19" s="51" t="s">
        <v>25</v>
      </c>
      <c r="H19" s="39" t="s">
        <v>25</v>
      </c>
      <c r="I19" s="48" t="str">
        <f>+IFERROR(VLOOKUP(H19,#REF!,2,0),"")</f>
        <v/>
      </c>
      <c r="J19" s="49" t="s">
        <v>25</v>
      </c>
    </row>
    <row r="20" spans="1:10" s="42" customFormat="1" ht="30.75" customHeight="1" x14ac:dyDescent="0.2">
      <c r="A20" s="43" t="str">
        <f>IF(B20="","",COUNTA(B$12:$B20))</f>
        <v/>
      </c>
      <c r="B20" s="44" t="s">
        <v>25</v>
      </c>
      <c r="C20" s="45" t="s">
        <v>25</v>
      </c>
      <c r="D20" s="46"/>
      <c r="E20" s="47" t="s">
        <v>25</v>
      </c>
      <c r="F20" s="37" t="s">
        <v>25</v>
      </c>
      <c r="G20" s="51" t="s">
        <v>25</v>
      </c>
      <c r="H20" s="39" t="s">
        <v>25</v>
      </c>
      <c r="I20" s="48" t="str">
        <f>+IFERROR(VLOOKUP(H20,#REF!,2,0),"")</f>
        <v/>
      </c>
      <c r="J20" s="49" t="s">
        <v>25</v>
      </c>
    </row>
    <row r="21" spans="1:10" s="42" customFormat="1" ht="30.75" customHeight="1" x14ac:dyDescent="0.2">
      <c r="A21" s="43" t="str">
        <f>IF(B21="","",COUNTA(B$12:$B21))</f>
        <v/>
      </c>
      <c r="B21" s="44" t="s">
        <v>25</v>
      </c>
      <c r="C21" s="45" t="s">
        <v>25</v>
      </c>
      <c r="D21" s="46"/>
      <c r="E21" s="47" t="s">
        <v>25</v>
      </c>
      <c r="F21" s="37" t="s">
        <v>25</v>
      </c>
      <c r="G21" s="51" t="s">
        <v>25</v>
      </c>
      <c r="H21" s="39" t="s">
        <v>25</v>
      </c>
      <c r="I21" s="48" t="str">
        <f>+IFERROR(VLOOKUP(H21,#REF!,2,0),"")</f>
        <v/>
      </c>
      <c r="J21" s="49" t="s">
        <v>25</v>
      </c>
    </row>
    <row r="22" spans="1:10" s="42" customFormat="1" ht="30.75" customHeight="1" x14ac:dyDescent="0.2">
      <c r="A22" s="43" t="str">
        <f>IF(B22="","",COUNTA(B$12:$B22))</f>
        <v/>
      </c>
      <c r="B22" s="44" t="s">
        <v>25</v>
      </c>
      <c r="C22" s="45" t="s">
        <v>25</v>
      </c>
      <c r="D22" s="46"/>
      <c r="E22" s="47" t="s">
        <v>25</v>
      </c>
      <c r="F22" s="52" t="s">
        <v>25</v>
      </c>
      <c r="G22" s="53" t="s">
        <v>25</v>
      </c>
      <c r="H22" s="39" t="s">
        <v>25</v>
      </c>
      <c r="I22" s="48" t="str">
        <f>+IFERROR(VLOOKUP(H22,#REF!,2,0),"")</f>
        <v/>
      </c>
      <c r="J22" s="49" t="s">
        <v>25</v>
      </c>
    </row>
    <row r="23" spans="1:10" s="42" customFormat="1" ht="30.75" customHeight="1" x14ac:dyDescent="0.2">
      <c r="A23" s="43" t="str">
        <f>IF(B23="","",COUNTA(B$12:$B23))</f>
        <v/>
      </c>
      <c r="B23" s="44" t="s">
        <v>25</v>
      </c>
      <c r="C23" s="45" t="s">
        <v>25</v>
      </c>
      <c r="D23" s="46"/>
      <c r="E23" s="47" t="s">
        <v>25</v>
      </c>
      <c r="F23" s="52" t="s">
        <v>25</v>
      </c>
      <c r="G23" s="53" t="s">
        <v>25</v>
      </c>
      <c r="H23" s="39" t="s">
        <v>25</v>
      </c>
      <c r="I23" s="48" t="str">
        <f>+IFERROR(VLOOKUP(H23,#REF!,2,0),"")</f>
        <v/>
      </c>
      <c r="J23" s="49" t="s">
        <v>25</v>
      </c>
    </row>
    <row r="24" spans="1:10" s="54" customFormat="1" ht="30.75" customHeight="1" x14ac:dyDescent="0.25">
      <c r="A24" s="43" t="str">
        <f>IF(B24="","",COUNTA(B$12:$B24))</f>
        <v/>
      </c>
      <c r="B24" s="44" t="s">
        <v>25</v>
      </c>
      <c r="C24" s="45" t="s">
        <v>25</v>
      </c>
      <c r="D24" s="46"/>
      <c r="E24" s="47" t="s">
        <v>25</v>
      </c>
      <c r="F24" s="52" t="s">
        <v>25</v>
      </c>
      <c r="G24" s="53" t="s">
        <v>25</v>
      </c>
      <c r="H24" s="39" t="s">
        <v>25</v>
      </c>
      <c r="I24" s="48" t="str">
        <f>+IFERROR(VLOOKUP(H24,#REF!,2,0),"")</f>
        <v/>
      </c>
      <c r="J24" s="49" t="s">
        <v>25</v>
      </c>
    </row>
    <row r="25" spans="1:10" s="54" customFormat="1" ht="30.75" customHeight="1" x14ac:dyDescent="0.25">
      <c r="A25" s="43" t="str">
        <f>IF(B25="","",COUNTA(B$12:$B25))</f>
        <v/>
      </c>
      <c r="B25" s="44" t="s">
        <v>25</v>
      </c>
      <c r="C25" s="45" t="s">
        <v>25</v>
      </c>
      <c r="D25" s="46"/>
      <c r="E25" s="47" t="s">
        <v>25</v>
      </c>
      <c r="F25" s="52" t="s">
        <v>25</v>
      </c>
      <c r="G25" s="51" t="s">
        <v>25</v>
      </c>
      <c r="H25" s="39" t="s">
        <v>25</v>
      </c>
      <c r="I25" s="48" t="str">
        <f>+IFERROR(VLOOKUP(H25,#REF!,2,0),"")</f>
        <v/>
      </c>
      <c r="J25" s="49" t="s">
        <v>25</v>
      </c>
    </row>
    <row r="26" spans="1:10" s="42" customFormat="1" ht="30.75" customHeight="1" x14ac:dyDescent="0.2">
      <c r="A26" s="32"/>
      <c r="B26" s="33"/>
      <c r="C26" s="34"/>
      <c r="D26" s="35"/>
      <c r="E26" s="36"/>
      <c r="F26" s="37"/>
      <c r="G26" s="38"/>
      <c r="H26" s="39"/>
      <c r="I26" s="40"/>
      <c r="J26" s="41"/>
    </row>
    <row r="27" spans="1:10" s="42" customFormat="1" ht="30.75" customHeight="1" x14ac:dyDescent="0.2">
      <c r="A27" s="43" t="str">
        <f>IF(B27="","",COUNTA(B$12:$B27))</f>
        <v/>
      </c>
      <c r="B27" s="44" t="s">
        <v>25</v>
      </c>
      <c r="C27" s="45" t="s">
        <v>25</v>
      </c>
      <c r="D27" s="46"/>
      <c r="E27" s="47" t="s">
        <v>25</v>
      </c>
      <c r="F27" s="37" t="s">
        <v>25</v>
      </c>
      <c r="G27" s="38" t="s">
        <v>25</v>
      </c>
      <c r="H27" s="39" t="s">
        <v>25</v>
      </c>
      <c r="I27" s="48" t="str">
        <f>+IFERROR(VLOOKUP(H27,#REF!,2,0),"")</f>
        <v/>
      </c>
      <c r="J27" s="49" t="s">
        <v>25</v>
      </c>
    </row>
    <row r="28" spans="1:10" s="42" customFormat="1" ht="30.75" customHeight="1" x14ac:dyDescent="0.2">
      <c r="A28" s="32" t="str">
        <f>IF(B28="","",COUNTA(B$12:$B28))</f>
        <v/>
      </c>
      <c r="B28" s="33" t="s">
        <v>25</v>
      </c>
      <c r="C28" s="34" t="s">
        <v>25</v>
      </c>
      <c r="D28" s="35"/>
      <c r="E28" s="36" t="s">
        <v>25</v>
      </c>
      <c r="F28" s="37" t="s">
        <v>25</v>
      </c>
      <c r="G28" s="38" t="s">
        <v>25</v>
      </c>
      <c r="H28" s="50" t="s">
        <v>25</v>
      </c>
      <c r="I28" s="40" t="str">
        <f>+IFERROR(VLOOKUP(H28,#REF!,2,0),"")</f>
        <v/>
      </c>
      <c r="J28" s="41" t="s">
        <v>25</v>
      </c>
    </row>
    <row r="29" spans="1:10" s="42" customFormat="1" ht="30.75" customHeight="1" x14ac:dyDescent="0.2">
      <c r="A29" s="32" t="str">
        <f>IF(B29="","",COUNTA(B$12:$B29))</f>
        <v/>
      </c>
      <c r="B29" s="33" t="s">
        <v>25</v>
      </c>
      <c r="C29" s="34" t="s">
        <v>25</v>
      </c>
      <c r="D29" s="35"/>
      <c r="E29" s="36" t="s">
        <v>25</v>
      </c>
      <c r="F29" s="37" t="s">
        <v>25</v>
      </c>
      <c r="G29" s="38" t="s">
        <v>25</v>
      </c>
      <c r="H29" s="50" t="s">
        <v>25</v>
      </c>
      <c r="I29" s="40" t="str">
        <f>+IFERROR(VLOOKUP(H29,#REF!,2,0),"")</f>
        <v/>
      </c>
      <c r="J29" s="41" t="s">
        <v>25</v>
      </c>
    </row>
    <row r="30" spans="1:10" s="42" customFormat="1" ht="30.75" customHeight="1" x14ac:dyDescent="0.2">
      <c r="A30" s="43" t="str">
        <f>IF(B30="","",COUNTA(B$12:$B30))</f>
        <v/>
      </c>
      <c r="B30" s="33" t="s">
        <v>25</v>
      </c>
      <c r="C30" s="34" t="s">
        <v>25</v>
      </c>
      <c r="D30" s="35"/>
      <c r="E30" s="47" t="s">
        <v>25</v>
      </c>
      <c r="F30" s="37" t="s">
        <v>25</v>
      </c>
      <c r="G30" s="38" t="s">
        <v>25</v>
      </c>
      <c r="H30" s="39" t="s">
        <v>25</v>
      </c>
      <c r="I30" s="48" t="str">
        <f>+IFERROR(VLOOKUP(H30,#REF!,2,0),"")</f>
        <v/>
      </c>
      <c r="J30" s="49" t="s">
        <v>25</v>
      </c>
    </row>
    <row r="31" spans="1:10" s="24" customFormat="1" ht="26.25" customHeight="1" x14ac:dyDescent="0.2">
      <c r="A31" s="94" t="s">
        <v>13</v>
      </c>
      <c r="B31" s="95"/>
      <c r="C31" s="95"/>
      <c r="D31" s="96"/>
      <c r="E31" s="97"/>
      <c r="F31" s="98"/>
      <c r="G31" s="99"/>
      <c r="H31" s="55"/>
      <c r="I31" s="56"/>
      <c r="J31" s="55"/>
    </row>
    <row r="32" spans="1:10" s="24" customFormat="1" ht="26.25" customHeight="1" x14ac:dyDescent="0.2">
      <c r="A32" s="94" t="s">
        <v>14</v>
      </c>
      <c r="B32" s="95"/>
      <c r="C32" s="95"/>
      <c r="D32" s="96"/>
      <c r="E32" s="97"/>
      <c r="F32" s="100"/>
      <c r="G32" s="99"/>
      <c r="H32" s="55"/>
      <c r="I32" s="56"/>
      <c r="J32" s="55"/>
    </row>
    <row r="33" spans="1:10" s="24" customFormat="1" ht="26.25" customHeight="1" x14ac:dyDescent="0.2">
      <c r="A33" s="101" t="s">
        <v>15</v>
      </c>
      <c r="B33" s="102"/>
      <c r="C33" s="102"/>
      <c r="D33" s="103"/>
      <c r="E33" s="104"/>
      <c r="F33" s="105"/>
      <c r="G33" s="99"/>
      <c r="H33" s="55"/>
      <c r="I33" s="56"/>
      <c r="J33" s="55"/>
    </row>
    <row r="34" spans="1:10" ht="22.5" customHeight="1" x14ac:dyDescent="0.25">
      <c r="A34" s="57"/>
      <c r="B34" s="57"/>
      <c r="C34" s="57"/>
      <c r="D34" s="57"/>
      <c r="E34" s="57"/>
      <c r="F34" s="57"/>
      <c r="G34" s="58"/>
      <c r="H34" s="59"/>
      <c r="I34" s="60"/>
      <c r="J34" s="58"/>
    </row>
    <row r="35" spans="1:10" ht="22.5" customHeight="1" x14ac:dyDescent="0.25">
      <c r="A35" s="73" t="s">
        <v>16</v>
      </c>
      <c r="B35" s="73"/>
      <c r="C35" s="73"/>
      <c r="D35" s="73"/>
      <c r="E35" s="73"/>
      <c r="F35" s="73"/>
      <c r="G35" s="58"/>
      <c r="H35" s="59"/>
      <c r="I35" s="60"/>
      <c r="J35" s="58"/>
    </row>
    <row r="36" spans="1:10" ht="25.5" customHeight="1" x14ac:dyDescent="0.25">
      <c r="A36" s="70" t="s">
        <v>17</v>
      </c>
      <c r="B36" s="70"/>
      <c r="C36" s="70"/>
      <c r="D36" s="70" t="s">
        <v>30</v>
      </c>
      <c r="E36" s="70"/>
      <c r="F36" s="70"/>
      <c r="G36" s="71" t="s">
        <v>18</v>
      </c>
      <c r="H36" s="71"/>
      <c r="I36" s="71"/>
      <c r="J36" s="71"/>
    </row>
    <row r="37" spans="1:10" ht="114.75" customHeight="1" x14ac:dyDescent="0.25">
      <c r="A37" s="61" t="s">
        <v>19</v>
      </c>
      <c r="B37" s="61"/>
      <c r="C37" s="61"/>
      <c r="D37" s="61" t="str">
        <f>IF(LEFT($E$7,3)="PNK","Trần Thị Hồng Thủy","Nguyễn Văn Bắc")</f>
        <v>Nguyễn Văn Bắc</v>
      </c>
      <c r="E37" s="61"/>
      <c r="F37" s="61"/>
      <c r="G37" s="72"/>
      <c r="H37" s="66"/>
      <c r="I37" s="67"/>
      <c r="J37" s="66"/>
    </row>
    <row r="399" spans="1:10" x14ac:dyDescent="0.25">
      <c r="A399" s="1" t="s">
        <v>20</v>
      </c>
      <c r="B399" s="2" t="s">
        <v>20</v>
      </c>
      <c r="E399" s="68">
        <v>156</v>
      </c>
      <c r="F399" s="8"/>
      <c r="G399" s="8"/>
      <c r="H399" s="8"/>
      <c r="I399" s="8"/>
      <c r="J399" s="8"/>
    </row>
    <row r="400" spans="1:10" x14ac:dyDescent="0.25">
      <c r="B400" s="2" t="s">
        <v>20</v>
      </c>
      <c r="E400" s="68">
        <v>56</v>
      </c>
      <c r="F400" s="8"/>
      <c r="G400" s="8"/>
      <c r="H400" s="8"/>
      <c r="I400" s="8"/>
      <c r="J400" s="8"/>
    </row>
    <row r="401" spans="1:10" x14ac:dyDescent="0.25">
      <c r="B401" s="2" t="s">
        <v>20</v>
      </c>
      <c r="E401" s="68">
        <v>3</v>
      </c>
      <c r="F401" s="8"/>
      <c r="G401" s="8"/>
      <c r="H401" s="8"/>
      <c r="I401" s="8"/>
      <c r="J401" s="8"/>
    </row>
    <row r="402" spans="1:10" x14ac:dyDescent="0.25">
      <c r="B402" s="2" t="s">
        <v>20</v>
      </c>
      <c r="E402" s="68">
        <v>2</v>
      </c>
      <c r="F402" s="8"/>
      <c r="G402" s="8"/>
      <c r="H402" s="8"/>
      <c r="I402" s="8"/>
      <c r="J402" s="8"/>
    </row>
    <row r="403" spans="1:10" x14ac:dyDescent="0.25">
      <c r="B403" s="2" t="s">
        <v>20</v>
      </c>
      <c r="E403" s="68">
        <v>229</v>
      </c>
      <c r="F403" s="8"/>
      <c r="G403" s="8"/>
      <c r="H403" s="8"/>
      <c r="I403" s="8"/>
      <c r="J403" s="8"/>
    </row>
    <row r="404" spans="1:10" x14ac:dyDescent="0.25">
      <c r="A404" s="8"/>
      <c r="B404" s="2" t="s">
        <v>20</v>
      </c>
      <c r="E404" s="1">
        <v>4</v>
      </c>
      <c r="F404" s="8"/>
      <c r="G404" s="8"/>
      <c r="H404" s="8"/>
      <c r="I404" s="8"/>
      <c r="J404" s="8"/>
    </row>
  </sheetData>
  <mergeCells count="34">
    <mergeCell ref="G36:J36"/>
    <mergeCell ref="A37:C37"/>
    <mergeCell ref="D37:F37"/>
    <mergeCell ref="C26:D26"/>
    <mergeCell ref="C27:D27"/>
    <mergeCell ref="C28:D28"/>
    <mergeCell ref="C29:D29"/>
    <mergeCell ref="A33:D33"/>
    <mergeCell ref="A34:F34"/>
    <mergeCell ref="A35:F35"/>
    <mergeCell ref="A36:C36"/>
    <mergeCell ref="D36:F36"/>
    <mergeCell ref="A31:D31"/>
    <mergeCell ref="A32:D32"/>
    <mergeCell ref="C30:D30"/>
    <mergeCell ref="C24:D24"/>
    <mergeCell ref="C25:D25"/>
    <mergeCell ref="C18:D18"/>
    <mergeCell ref="C19:D19"/>
    <mergeCell ref="C20:D20"/>
    <mergeCell ref="C21:D21"/>
    <mergeCell ref="C22:D22"/>
    <mergeCell ref="C23:D23"/>
    <mergeCell ref="C12:D12"/>
    <mergeCell ref="C13:D13"/>
    <mergeCell ref="C14:D14"/>
    <mergeCell ref="C15:D15"/>
    <mergeCell ref="C16:D16"/>
    <mergeCell ref="C17:D17"/>
    <mergeCell ref="H1:J1"/>
    <mergeCell ref="H2:J3"/>
    <mergeCell ref="A5:J5"/>
    <mergeCell ref="A8:B8"/>
    <mergeCell ref="C11:D11"/>
  </mergeCells>
  <pageMargins left="0.55118110236220474" right="0.19685039370078741" top="0.15748031496062992" bottom="0.15748031496062992" header="0.15748031496062992" footer="0.31496062992125984"/>
  <pageSetup paperSize="9" scale="52" fitToHeight="0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Phiếu X-N</vt:lpstr>
      <vt:lpstr>'Phiếu X-N'!Print_Area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Đức Duy</dc:creator>
  <cp:lastModifiedBy>Phạm Đức Duy</cp:lastModifiedBy>
  <cp:lastPrinted>2026-02-24T08:09:29Z</cp:lastPrinted>
  <dcterms:created xsi:type="dcterms:W3CDTF">2026-02-24T08:01:30Z</dcterms:created>
  <dcterms:modified xsi:type="dcterms:W3CDTF">2026-02-24T08:14:10Z</dcterms:modified>
</cp:coreProperties>
</file>